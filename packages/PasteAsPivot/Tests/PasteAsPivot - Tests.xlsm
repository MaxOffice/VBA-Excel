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jch\projects\maxoffice\VBA-Excel\packages\PasteAsPivot\Tests\"/>
    </mc:Choice>
  </mc:AlternateContent>
  <xr:revisionPtr revIDLastSave="0" documentId="13_ncr:1_{F5D65E41-4B76-4EAD-AFBA-9DB443B5D6E5}" xr6:coauthVersionLast="47" xr6:coauthVersionMax="47" xr10:uidLastSave="{00000000-0000-0000-0000-000000000000}"/>
  <bookViews>
    <workbookView xWindow="-110" yWindow="-110" windowWidth="19420" windowHeight="10300" xr2:uid="{1B2A7F8F-43EA-4CE5-B79C-FB46C23837CB}"/>
  </bookViews>
  <sheets>
    <sheet name="Instructions" sheetId="2" r:id="rId1"/>
    <sheet name="Data" sheetId="3" r:id="rId2"/>
    <sheet name="Pivot" sheetId="4" r:id="rId3"/>
    <sheet name="Sample Output" sheetId="5" r:id="rId4"/>
  </sheets>
  <calcPr calcId="191029"/>
  <pivotCaches>
    <pivotCache cacheId="22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C1" i="5"/>
  <c r="D1" i="5"/>
  <c r="B2" i="5"/>
  <c r="C2" i="5"/>
  <c r="D2" i="5"/>
  <c r="B3" i="5"/>
  <c r="C3" i="5"/>
  <c r="D3" i="5"/>
  <c r="B4" i="5"/>
  <c r="C4" i="5"/>
  <c r="D4" i="5"/>
</calcChain>
</file>

<file path=xl/sharedStrings.xml><?xml version="1.0" encoding="utf-8"?>
<sst xmlns="http://schemas.openxmlformats.org/spreadsheetml/2006/main" count="210" uniqueCount="48">
  <si>
    <t>Paste as GetPivotData utility</t>
  </si>
  <si>
    <t>Created by Dr Nitin Paranjape and Raj Chaudhuri</t>
  </si>
  <si>
    <t>Objective</t>
  </si>
  <si>
    <t>Allow you to paste many cells from data area as GetPivotData formulas in a new sheet.</t>
  </si>
  <si>
    <t>Instructions</t>
  </si>
  <si>
    <t>Keep this file open.</t>
  </si>
  <si>
    <t>Open your file containing Pivot Table. Take backup to be on the safer side.</t>
  </si>
  <si>
    <t>Go to your Pivot Table</t>
  </si>
  <si>
    <t>Select desired cells from the data area of your Pivot Table</t>
  </si>
  <si>
    <t>Go to View tab - Click Macros</t>
  </si>
  <si>
    <t>Run the macro "pastepivot"</t>
  </si>
  <si>
    <t>A new sheet will be added with GetPivotData references to the selected cells</t>
  </si>
  <si>
    <t>A tooltip also appears in each cell explaining what it is</t>
  </si>
  <si>
    <t>Pasting works only with cells from Data area. If you select Row or Column area cells, those will appear blank.</t>
  </si>
  <si>
    <t>Sample Pasted data is shown in "Output" sheet</t>
  </si>
  <si>
    <t xml:space="preserve">You can copy the output and paste it into your actual calculation. </t>
  </si>
  <si>
    <t>Disclaimer</t>
  </si>
  <si>
    <t>Please use it at your own risk. We are not responsible for any data corruption or monetary loss.</t>
  </si>
  <si>
    <t>Suggestions or Feedback</t>
  </si>
  <si>
    <t>Due date</t>
  </si>
  <si>
    <t>Amount</t>
  </si>
  <si>
    <t>Aging</t>
  </si>
  <si>
    <t>Customer Type</t>
  </si>
  <si>
    <t>Segment</t>
  </si>
  <si>
    <t>Listed</t>
  </si>
  <si>
    <t>Type of sale</t>
  </si>
  <si>
    <t>Preferred</t>
  </si>
  <si>
    <t>Airlines</t>
  </si>
  <si>
    <t>No</t>
  </si>
  <si>
    <t>New product sale</t>
  </si>
  <si>
    <t>Non-Preferred</t>
  </si>
  <si>
    <t>Manufacturing</t>
  </si>
  <si>
    <t>Yes</t>
  </si>
  <si>
    <t>Product upgrade</t>
  </si>
  <si>
    <t>Service contract</t>
  </si>
  <si>
    <t>Exports</t>
  </si>
  <si>
    <t>Government</t>
  </si>
  <si>
    <t>BPO</t>
  </si>
  <si>
    <t>Defense</t>
  </si>
  <si>
    <t>Trading</t>
  </si>
  <si>
    <t>Telecom</t>
  </si>
  <si>
    <t>Healthcare</t>
  </si>
  <si>
    <t>(All)</t>
  </si>
  <si>
    <t>Sum of Amount</t>
  </si>
  <si>
    <t>Column Labels</t>
  </si>
  <si>
    <t>Row Labels</t>
  </si>
  <si>
    <t>Grand Total</t>
  </si>
  <si>
    <t>nitin@maxoffice.co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</si>
</sst>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1"/>
    <xf numFmtId="0" fontId="0" fillId="0" borderId="0" xfId="0" applyAlignment="1">
      <alignment horizontal="left" indent="1"/>
    </xf>
    <xf numFmtId="0" fontId="3" fillId="0" borderId="0" xfId="3" applyAlignment="1">
      <alignment horizontal="left" indent="1"/>
    </xf>
    <xf numFmtId="0" fontId="2" fillId="0" borderId="1" xfId="2" applyAlignment="1"/>
    <xf numFmtId="0" fontId="2" fillId="0" borderId="1" xfId="2"/>
    <xf numFmtId="0" fontId="3" fillId="0" borderId="0" xfId="3"/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left"/>
    </xf>
    <xf numFmtId="0" fontId="2" fillId="0" borderId="1" xfId="2" applyAlignment="1">
      <alignment horizontal="left"/>
    </xf>
    <xf numFmtId="0" fontId="0" fillId="0" borderId="0" xfId="0" pivotButton="1"/>
    <xf numFmtId="0" fontId="0" fillId="0" borderId="0" xfId="0" applyNumberFormat="1"/>
  </cellXfs>
  <cellStyles count="4">
    <cellStyle name="Heading 1" xfId="2" builtinId="16"/>
    <cellStyle name="Hyperlink" xfId="3" builtinId="8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 Chaudhuri" refreshedDate="45631.698114004626" createdVersion="8" refreshedVersion="8" minRefreshableVersion="3" recordCount="37" xr:uid="{1480A1A5-1ED0-4AD1-8EE9-6A30FC0E0B9B}">
  <cacheSource type="worksheet">
    <worksheetSource name="Table1"/>
  </cacheSource>
  <cacheFields count="7">
    <cacheField name="Due date" numFmtId="164">
      <sharedItems containsSemiMixedTypes="0" containsNonDate="0" containsDate="1" containsString="0" minDate="2005-06-23T00:00:00" maxDate="2010-10-13T00:00:00"/>
    </cacheField>
    <cacheField name="Amount" numFmtId="0">
      <sharedItems containsSemiMixedTypes="0" containsString="0" containsNumber="1" containsInteger="1" minValue="10454" maxValue="24323432"/>
    </cacheField>
    <cacheField name="Aging" numFmtId="1">
      <sharedItems containsSemiMixedTypes="0" containsString="0" containsNumber="1" containsInteger="1" minValue="1" maxValue="21"/>
    </cacheField>
    <cacheField name="Customer Type" numFmtId="0">
      <sharedItems count="2">
        <s v="Preferred"/>
        <s v="Non-Preferred"/>
      </sharedItems>
    </cacheField>
    <cacheField name="Segment" numFmtId="0">
      <sharedItems count="9">
        <s v="Airlines"/>
        <s v="Manufacturing"/>
        <s v="Exports"/>
        <s v="Government"/>
        <s v="BPO"/>
        <s v="Defense"/>
        <s v="Trading"/>
        <s v="Telecom"/>
        <s v="Healthcare"/>
      </sharedItems>
    </cacheField>
    <cacheField name="Listed" numFmtId="0">
      <sharedItems count="2">
        <s v="No"/>
        <s v="Yes"/>
      </sharedItems>
    </cacheField>
    <cacheField name="Type of sale" numFmtId="0">
      <sharedItems count="3">
        <s v="New product sale"/>
        <s v="Product upgrade"/>
        <s v="Service contrac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d v="2005-08-01T00:00:00"/>
    <n v="140497"/>
    <n v="1"/>
    <x v="0"/>
    <x v="0"/>
    <x v="0"/>
    <x v="0"/>
  </r>
  <r>
    <d v="2009-12-22T00:00:00"/>
    <n v="19421"/>
    <n v="1"/>
    <x v="1"/>
    <x v="1"/>
    <x v="1"/>
    <x v="1"/>
  </r>
  <r>
    <d v="2009-06-08T00:00:00"/>
    <n v="22143"/>
    <n v="2"/>
    <x v="1"/>
    <x v="0"/>
    <x v="0"/>
    <x v="2"/>
  </r>
  <r>
    <d v="2009-12-08T00:00:00"/>
    <n v="13742"/>
    <n v="2"/>
    <x v="0"/>
    <x v="2"/>
    <x v="1"/>
    <x v="2"/>
  </r>
  <r>
    <d v="2006-09-10T00:00:00"/>
    <n v="15563"/>
    <n v="2"/>
    <x v="1"/>
    <x v="1"/>
    <x v="0"/>
    <x v="0"/>
  </r>
  <r>
    <d v="2007-10-24T00:00:00"/>
    <n v="481391"/>
    <n v="2"/>
    <x v="0"/>
    <x v="3"/>
    <x v="0"/>
    <x v="2"/>
  </r>
  <r>
    <d v="2009-05-07T00:00:00"/>
    <n v="24323432"/>
    <n v="2"/>
    <x v="1"/>
    <x v="4"/>
    <x v="1"/>
    <x v="2"/>
  </r>
  <r>
    <d v="2008-12-24T00:00:00"/>
    <n v="18362"/>
    <n v="2"/>
    <x v="1"/>
    <x v="5"/>
    <x v="1"/>
    <x v="2"/>
  </r>
  <r>
    <d v="2008-11-20T00:00:00"/>
    <n v="10454"/>
    <n v="2"/>
    <x v="1"/>
    <x v="6"/>
    <x v="0"/>
    <x v="2"/>
  </r>
  <r>
    <d v="2006-06-14T00:00:00"/>
    <n v="26077"/>
    <n v="2"/>
    <x v="1"/>
    <x v="7"/>
    <x v="1"/>
    <x v="1"/>
  </r>
  <r>
    <d v="2007-09-08T00:00:00"/>
    <n v="10575"/>
    <n v="6"/>
    <x v="0"/>
    <x v="7"/>
    <x v="0"/>
    <x v="2"/>
  </r>
  <r>
    <d v="2010-03-15T00:00:00"/>
    <n v="204036"/>
    <n v="7"/>
    <x v="0"/>
    <x v="7"/>
    <x v="1"/>
    <x v="1"/>
  </r>
  <r>
    <d v="2005-09-17T00:00:00"/>
    <n v="248395"/>
    <n v="8"/>
    <x v="1"/>
    <x v="8"/>
    <x v="0"/>
    <x v="0"/>
  </r>
  <r>
    <d v="2007-09-01T00:00:00"/>
    <n v="91758"/>
    <n v="8"/>
    <x v="1"/>
    <x v="2"/>
    <x v="0"/>
    <x v="1"/>
  </r>
  <r>
    <d v="2006-01-21T00:00:00"/>
    <n v="19493"/>
    <n v="9"/>
    <x v="0"/>
    <x v="8"/>
    <x v="1"/>
    <x v="2"/>
  </r>
  <r>
    <d v="2006-04-15T00:00:00"/>
    <n v="480788"/>
    <n v="10"/>
    <x v="1"/>
    <x v="6"/>
    <x v="1"/>
    <x v="0"/>
  </r>
  <r>
    <d v="2005-10-10T00:00:00"/>
    <n v="21978"/>
    <n v="10"/>
    <x v="1"/>
    <x v="1"/>
    <x v="0"/>
    <x v="2"/>
  </r>
  <r>
    <d v="2007-07-11T00:00:00"/>
    <n v="444447"/>
    <n v="10"/>
    <x v="1"/>
    <x v="4"/>
    <x v="1"/>
    <x v="2"/>
  </r>
  <r>
    <d v="2007-11-02T00:00:00"/>
    <n v="17000"/>
    <n v="11"/>
    <x v="0"/>
    <x v="1"/>
    <x v="0"/>
    <x v="0"/>
  </r>
  <r>
    <d v="2007-12-30T00:00:00"/>
    <n v="10892"/>
    <n v="12"/>
    <x v="1"/>
    <x v="0"/>
    <x v="1"/>
    <x v="0"/>
  </r>
  <r>
    <d v="2006-01-14T00:00:00"/>
    <n v="23240"/>
    <n v="12"/>
    <x v="1"/>
    <x v="8"/>
    <x v="1"/>
    <x v="1"/>
  </r>
  <r>
    <d v="2009-02-11T00:00:00"/>
    <n v="18347"/>
    <n v="13"/>
    <x v="1"/>
    <x v="7"/>
    <x v="1"/>
    <x v="1"/>
  </r>
  <r>
    <d v="2009-05-20T00:00:00"/>
    <n v="402040"/>
    <n v="13"/>
    <x v="0"/>
    <x v="0"/>
    <x v="1"/>
    <x v="0"/>
  </r>
  <r>
    <d v="2005-06-23T00:00:00"/>
    <n v="13049"/>
    <n v="13"/>
    <x v="1"/>
    <x v="2"/>
    <x v="1"/>
    <x v="0"/>
  </r>
  <r>
    <d v="2006-10-15T00:00:00"/>
    <n v="21720"/>
    <n v="14"/>
    <x v="0"/>
    <x v="3"/>
    <x v="1"/>
    <x v="0"/>
  </r>
  <r>
    <d v="2010-10-12T00:00:00"/>
    <n v="207123"/>
    <n v="14"/>
    <x v="0"/>
    <x v="7"/>
    <x v="0"/>
    <x v="2"/>
  </r>
  <r>
    <d v="2007-06-21T00:00:00"/>
    <n v="24845"/>
    <n v="14"/>
    <x v="1"/>
    <x v="6"/>
    <x v="1"/>
    <x v="1"/>
  </r>
  <r>
    <d v="2005-07-12T00:00:00"/>
    <n v="20592"/>
    <n v="15"/>
    <x v="1"/>
    <x v="3"/>
    <x v="0"/>
    <x v="0"/>
  </r>
  <r>
    <d v="2008-12-27T00:00:00"/>
    <n v="26830"/>
    <n v="16"/>
    <x v="0"/>
    <x v="4"/>
    <x v="0"/>
    <x v="0"/>
  </r>
  <r>
    <d v="2008-07-28T00:00:00"/>
    <n v="465274"/>
    <n v="16"/>
    <x v="1"/>
    <x v="8"/>
    <x v="1"/>
    <x v="2"/>
  </r>
  <r>
    <d v="2005-09-01T00:00:00"/>
    <n v="25397"/>
    <n v="18"/>
    <x v="1"/>
    <x v="0"/>
    <x v="0"/>
    <x v="0"/>
  </r>
  <r>
    <d v="2010-06-05T00:00:00"/>
    <n v="34304"/>
    <n v="18"/>
    <x v="0"/>
    <x v="2"/>
    <x v="0"/>
    <x v="2"/>
  </r>
  <r>
    <d v="2008-08-01T00:00:00"/>
    <n v="16729"/>
    <n v="18"/>
    <x v="0"/>
    <x v="6"/>
    <x v="1"/>
    <x v="0"/>
  </r>
  <r>
    <d v="2010-07-20T00:00:00"/>
    <n v="122639"/>
    <n v="19"/>
    <x v="1"/>
    <x v="4"/>
    <x v="1"/>
    <x v="0"/>
  </r>
  <r>
    <d v="2005-11-03T00:00:00"/>
    <n v="19721"/>
    <n v="19"/>
    <x v="1"/>
    <x v="3"/>
    <x v="1"/>
    <x v="0"/>
  </r>
  <r>
    <d v="2007-10-21T00:00:00"/>
    <n v="20092"/>
    <n v="20"/>
    <x v="1"/>
    <x v="5"/>
    <x v="0"/>
    <x v="0"/>
  </r>
  <r>
    <d v="2006-07-24T00:00:00"/>
    <n v="199434"/>
    <n v="21"/>
    <x v="0"/>
    <x v="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10CEF-5251-4C04-BAA6-82071E870782}" name="test1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A4:D32" firstHeaderRow="1" firstDataRow="2" firstDataCol="1" rowPageCount="1" colPageCount="1"/>
  <pivotFields count="7">
    <pivotField numFmtId="164" showAll="0"/>
    <pivotField dataField="1" showAll="0"/>
    <pivotField numFmtId="1" showAll="0"/>
    <pivotField axis="axisRow" showAll="0">
      <items count="3">
        <item x="1"/>
        <item x="0"/>
        <item t="default"/>
      </items>
    </pivotField>
    <pivotField axis="axisRow" showAll="0">
      <items count="10">
        <item x="0"/>
        <item x="4"/>
        <item x="5"/>
        <item x="2"/>
        <item x="3"/>
        <item x="8"/>
        <item x="1"/>
        <item x="7"/>
        <item x="6"/>
        <item t="default"/>
      </items>
    </pivotField>
    <pivotField axis="axisCol" showAll="0">
      <items count="3">
        <item x="0"/>
        <item x="1"/>
        <item t="default"/>
      </items>
    </pivotField>
    <pivotField axis="axisPage" showAll="0">
      <items count="4">
        <item x="0"/>
        <item x="1"/>
        <item x="2"/>
        <item t="default"/>
      </items>
    </pivotField>
  </pivotFields>
  <rowFields count="2">
    <field x="4"/>
    <field x="3"/>
  </rowFields>
  <rowItems count="27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>
      <x v="8"/>
    </i>
    <i r="1">
      <x/>
    </i>
    <i r="1">
      <x v="1"/>
    </i>
    <i t="grand">
      <x/>
    </i>
  </rowItems>
  <colFields count="1">
    <field x="5"/>
  </colFields>
  <colItems count="3">
    <i>
      <x/>
    </i>
    <i>
      <x v="1"/>
    </i>
    <i t="grand">
      <x/>
    </i>
  </colItems>
  <pageFields count="1">
    <pageField fld="6" hier="-1"/>
  </pageFields>
  <dataFields count="1">
    <dataField name="Sum of Amount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D589B0-33EF-4903-A063-C7FA235273A3}" name="Table1" displayName="Table1" ref="B4:H41" totalsRowShown="0">
  <autoFilter ref="B4:H41" xr:uid="{00000000-0009-0000-0100-000001000000}"/>
  <tableColumns count="7">
    <tableColumn id="1" xr3:uid="{0A94FBFB-C274-4D8D-AF28-64FEA1685FAB}" name="Due date"/>
    <tableColumn id="2" xr3:uid="{C5CC0D53-C13E-4E21-B72C-D85529D5ED2B}" name="Amount"/>
    <tableColumn id="3" xr3:uid="{4BED1097-9DE2-4BF8-AC4B-671A21FB8F30}" name="Aging"/>
    <tableColumn id="4" xr3:uid="{D81D3154-152B-49E2-A672-E765FCCD0E5E}" name="Customer Type"/>
    <tableColumn id="5" xr3:uid="{3B95CCDD-AAC0-4185-B06A-BD37878FD49B}" name="Segment"/>
    <tableColumn id="6" xr3:uid="{9A1EE0B3-5181-4CF8-9A0F-22A79B2167D2}" name="Listed"/>
    <tableColumn id="7" xr3:uid="{453C0D8A-8D29-4BFD-9C9F-1AD6FF26B57A}" name="Type of sal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nitin@maxoffice.co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3A54D-BB6D-408E-9E38-56EAA90CF5E1}">
  <sheetPr codeName="Sheet3"/>
  <dimension ref="B1:M24"/>
  <sheetViews>
    <sheetView showGridLines="0" tabSelected="1" workbookViewId="0"/>
  </sheetViews>
  <sheetFormatPr defaultRowHeight="14.5" x14ac:dyDescent="0.35"/>
  <sheetData>
    <row r="1" spans="2:13" ht="23.5" x14ac:dyDescent="0.55000000000000004">
      <c r="B1" s="1" t="s">
        <v>0</v>
      </c>
    </row>
    <row r="2" spans="2:13" x14ac:dyDescent="0.35">
      <c r="B2" t="s">
        <v>1</v>
      </c>
    </row>
    <row r="4" spans="2:13" ht="20" thickBot="1" x14ac:dyDescent="0.5">
      <c r="B4" s="10" t="s">
        <v>2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</row>
    <row r="5" spans="2:13" ht="15" thickTop="1" x14ac:dyDescent="0.35">
      <c r="C5" s="2" t="s">
        <v>3</v>
      </c>
    </row>
    <row r="6" spans="2:13" x14ac:dyDescent="0.35">
      <c r="C6" s="3"/>
    </row>
    <row r="7" spans="2:13" ht="20" thickBot="1" x14ac:dyDescent="0.5">
      <c r="B7" s="4" t="s">
        <v>4</v>
      </c>
      <c r="C7" s="4"/>
      <c r="D7" s="4"/>
      <c r="E7" s="4"/>
      <c r="F7" s="4"/>
      <c r="G7" s="5"/>
      <c r="H7" s="5"/>
      <c r="I7" s="5"/>
      <c r="J7" s="5"/>
      <c r="K7" s="5"/>
      <c r="L7" s="5"/>
      <c r="M7" s="5"/>
    </row>
    <row r="8" spans="2:13" ht="15" thickTop="1" x14ac:dyDescent="0.35">
      <c r="B8">
        <v>1</v>
      </c>
      <c r="C8" s="2" t="s">
        <v>5</v>
      </c>
    </row>
    <row r="9" spans="2:13" x14ac:dyDescent="0.35">
      <c r="B9">
        <v>2</v>
      </c>
      <c r="C9" s="2" t="s">
        <v>6</v>
      </c>
    </row>
    <row r="10" spans="2:13" x14ac:dyDescent="0.35">
      <c r="B10">
        <v>3</v>
      </c>
      <c r="C10" s="2" t="s">
        <v>7</v>
      </c>
    </row>
    <row r="11" spans="2:13" x14ac:dyDescent="0.35">
      <c r="B11">
        <v>4</v>
      </c>
      <c r="C11" s="2" t="s">
        <v>8</v>
      </c>
    </row>
    <row r="12" spans="2:13" x14ac:dyDescent="0.35">
      <c r="B12">
        <v>5</v>
      </c>
      <c r="C12" s="2" t="s">
        <v>9</v>
      </c>
    </row>
    <row r="13" spans="2:13" x14ac:dyDescent="0.35">
      <c r="B13">
        <v>6</v>
      </c>
      <c r="C13" s="2" t="s">
        <v>10</v>
      </c>
    </row>
    <row r="14" spans="2:13" x14ac:dyDescent="0.35">
      <c r="B14">
        <v>7</v>
      </c>
      <c r="C14" s="2" t="s">
        <v>11</v>
      </c>
    </row>
    <row r="15" spans="2:13" x14ac:dyDescent="0.35">
      <c r="B15">
        <v>8</v>
      </c>
      <c r="C15" s="2" t="s">
        <v>12</v>
      </c>
    </row>
    <row r="16" spans="2:13" x14ac:dyDescent="0.35">
      <c r="B16">
        <v>9</v>
      </c>
      <c r="C16" s="2" t="s">
        <v>13</v>
      </c>
    </row>
    <row r="17" spans="2:13" x14ac:dyDescent="0.35">
      <c r="B17">
        <v>10</v>
      </c>
      <c r="C17" s="2" t="s">
        <v>14</v>
      </c>
    </row>
    <row r="18" spans="2:13" x14ac:dyDescent="0.35">
      <c r="B18">
        <v>11</v>
      </c>
      <c r="C18" s="2" t="s">
        <v>15</v>
      </c>
    </row>
    <row r="20" spans="2:13" ht="20" thickBot="1" x14ac:dyDescent="0.5">
      <c r="B20" s="10" t="s">
        <v>16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</row>
    <row r="21" spans="2:13" ht="15" thickTop="1" x14ac:dyDescent="0.35">
      <c r="C21" s="2" t="s">
        <v>17</v>
      </c>
    </row>
    <row r="23" spans="2:13" ht="20" thickBot="1" x14ac:dyDescent="0.5">
      <c r="B23" s="10" t="s">
        <v>18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</row>
    <row r="24" spans="2:13" ht="15" thickTop="1" x14ac:dyDescent="0.35">
      <c r="C24" s="6" t="s">
        <v>47</v>
      </c>
    </row>
  </sheetData>
  <mergeCells count="3">
    <mergeCell ref="B4:M4"/>
    <mergeCell ref="B20:M20"/>
    <mergeCell ref="B23:M23"/>
  </mergeCells>
  <hyperlinks>
    <hyperlink ref="C24" r:id="rId1" xr:uid="{D63244F6-573E-4AEA-AA4C-B1460AFE5F82}"/>
  </hyperlinks>
  <pageMargins left="0.7" right="0.7" top="0.75" bottom="0.75" header="0.3" footer="0.3"/>
  <pageSetup orientation="portrait" horizontalDpi="4294967293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E2E88-FD58-4719-B4F8-CEE083CBF627}">
  <sheetPr codeName="Sheet2"/>
  <dimension ref="B4:H41"/>
  <sheetViews>
    <sheetView zoomScaleNormal="100" workbookViewId="0">
      <selection activeCell="A2" sqref="A2"/>
    </sheetView>
  </sheetViews>
  <sheetFormatPr defaultRowHeight="14.5" x14ac:dyDescent="0.35"/>
  <cols>
    <col min="2" max="2" width="31.26953125" customWidth="1"/>
    <col min="3" max="3" width="10.1796875" customWidth="1"/>
    <col min="5" max="5" width="14.7265625" customWidth="1"/>
    <col min="6" max="6" width="14" bestFit="1" customWidth="1"/>
    <col min="8" max="8" width="16.54296875" bestFit="1" customWidth="1"/>
  </cols>
  <sheetData>
    <row r="4" spans="2:8" x14ac:dyDescent="0.35">
      <c r="B4" t="s">
        <v>19</v>
      </c>
      <c r="C4" t="s">
        <v>20</v>
      </c>
      <c r="D4" t="s">
        <v>21</v>
      </c>
      <c r="E4" t="s">
        <v>22</v>
      </c>
      <c r="F4" t="s">
        <v>23</v>
      </c>
      <c r="G4" t="s">
        <v>24</v>
      </c>
      <c r="H4" t="s">
        <v>25</v>
      </c>
    </row>
    <row r="5" spans="2:8" x14ac:dyDescent="0.35">
      <c r="B5" s="7">
        <v>38565</v>
      </c>
      <c r="C5">
        <v>140497</v>
      </c>
      <c r="D5" s="8">
        <v>1</v>
      </c>
      <c r="E5" t="s">
        <v>26</v>
      </c>
      <c r="F5" t="s">
        <v>27</v>
      </c>
      <c r="G5" t="s">
        <v>28</v>
      </c>
      <c r="H5" t="s">
        <v>29</v>
      </c>
    </row>
    <row r="6" spans="2:8" x14ac:dyDescent="0.35">
      <c r="B6" s="7">
        <v>40169</v>
      </c>
      <c r="C6">
        <v>19421</v>
      </c>
      <c r="D6" s="8">
        <v>1</v>
      </c>
      <c r="E6" t="s">
        <v>30</v>
      </c>
      <c r="F6" t="s">
        <v>31</v>
      </c>
      <c r="G6" t="s">
        <v>32</v>
      </c>
      <c r="H6" t="s">
        <v>33</v>
      </c>
    </row>
    <row r="7" spans="2:8" x14ac:dyDescent="0.35">
      <c r="B7" s="7">
        <v>39972</v>
      </c>
      <c r="C7">
        <v>22143</v>
      </c>
      <c r="D7" s="8">
        <v>2</v>
      </c>
      <c r="E7" t="s">
        <v>30</v>
      </c>
      <c r="F7" t="s">
        <v>27</v>
      </c>
      <c r="G7" t="s">
        <v>28</v>
      </c>
      <c r="H7" t="s">
        <v>34</v>
      </c>
    </row>
    <row r="8" spans="2:8" x14ac:dyDescent="0.35">
      <c r="B8" s="7">
        <v>40155</v>
      </c>
      <c r="C8">
        <v>13742</v>
      </c>
      <c r="D8" s="8">
        <v>2</v>
      </c>
      <c r="E8" t="s">
        <v>26</v>
      </c>
      <c r="F8" t="s">
        <v>35</v>
      </c>
      <c r="G8" t="s">
        <v>32</v>
      </c>
      <c r="H8" t="s">
        <v>34</v>
      </c>
    </row>
    <row r="9" spans="2:8" x14ac:dyDescent="0.35">
      <c r="B9" s="7">
        <v>38970</v>
      </c>
      <c r="C9">
        <v>15563</v>
      </c>
      <c r="D9" s="8">
        <v>2</v>
      </c>
      <c r="E9" t="s">
        <v>30</v>
      </c>
      <c r="F9" t="s">
        <v>31</v>
      </c>
      <c r="G9" t="s">
        <v>28</v>
      </c>
      <c r="H9" t="s">
        <v>29</v>
      </c>
    </row>
    <row r="10" spans="2:8" x14ac:dyDescent="0.35">
      <c r="B10" s="7">
        <v>39379</v>
      </c>
      <c r="C10">
        <v>481391</v>
      </c>
      <c r="D10" s="8">
        <v>2</v>
      </c>
      <c r="E10" t="s">
        <v>26</v>
      </c>
      <c r="F10" t="s">
        <v>36</v>
      </c>
      <c r="G10" t="s">
        <v>28</v>
      </c>
      <c r="H10" t="s">
        <v>34</v>
      </c>
    </row>
    <row r="11" spans="2:8" x14ac:dyDescent="0.35">
      <c r="B11" s="7">
        <v>39940</v>
      </c>
      <c r="C11">
        <v>24323432</v>
      </c>
      <c r="D11" s="8">
        <v>2</v>
      </c>
      <c r="E11" t="s">
        <v>30</v>
      </c>
      <c r="F11" t="s">
        <v>37</v>
      </c>
      <c r="G11" t="s">
        <v>32</v>
      </c>
      <c r="H11" t="s">
        <v>34</v>
      </c>
    </row>
    <row r="12" spans="2:8" x14ac:dyDescent="0.35">
      <c r="B12" s="7">
        <v>39806</v>
      </c>
      <c r="C12">
        <v>18362</v>
      </c>
      <c r="D12" s="8">
        <v>2</v>
      </c>
      <c r="E12" t="s">
        <v>30</v>
      </c>
      <c r="F12" t="s">
        <v>38</v>
      </c>
      <c r="G12" t="s">
        <v>32</v>
      </c>
      <c r="H12" t="s">
        <v>34</v>
      </c>
    </row>
    <row r="13" spans="2:8" x14ac:dyDescent="0.35">
      <c r="B13" s="7">
        <v>39772</v>
      </c>
      <c r="C13">
        <v>10454</v>
      </c>
      <c r="D13" s="8">
        <v>2</v>
      </c>
      <c r="E13" t="s">
        <v>30</v>
      </c>
      <c r="F13" t="s">
        <v>39</v>
      </c>
      <c r="G13" t="s">
        <v>28</v>
      </c>
      <c r="H13" t="s">
        <v>34</v>
      </c>
    </row>
    <row r="14" spans="2:8" x14ac:dyDescent="0.35">
      <c r="B14" s="7">
        <v>38882</v>
      </c>
      <c r="C14">
        <v>26077</v>
      </c>
      <c r="D14" s="8">
        <v>2</v>
      </c>
      <c r="E14" t="s">
        <v>30</v>
      </c>
      <c r="F14" t="s">
        <v>40</v>
      </c>
      <c r="G14" t="s">
        <v>32</v>
      </c>
      <c r="H14" t="s">
        <v>33</v>
      </c>
    </row>
    <row r="15" spans="2:8" x14ac:dyDescent="0.35">
      <c r="B15" s="7">
        <v>39333</v>
      </c>
      <c r="C15">
        <v>10575</v>
      </c>
      <c r="D15" s="8">
        <v>6</v>
      </c>
      <c r="E15" t="s">
        <v>26</v>
      </c>
      <c r="F15" t="s">
        <v>40</v>
      </c>
      <c r="G15" t="s">
        <v>28</v>
      </c>
      <c r="H15" t="s">
        <v>34</v>
      </c>
    </row>
    <row r="16" spans="2:8" x14ac:dyDescent="0.35">
      <c r="B16" s="7">
        <v>40252</v>
      </c>
      <c r="C16">
        <v>204036</v>
      </c>
      <c r="D16" s="8">
        <v>7</v>
      </c>
      <c r="E16" t="s">
        <v>26</v>
      </c>
      <c r="F16" t="s">
        <v>40</v>
      </c>
      <c r="G16" t="s">
        <v>32</v>
      </c>
      <c r="H16" t="s">
        <v>33</v>
      </c>
    </row>
    <row r="17" spans="2:8" x14ac:dyDescent="0.35">
      <c r="B17" s="7">
        <v>38612</v>
      </c>
      <c r="C17">
        <v>248395</v>
      </c>
      <c r="D17" s="8">
        <v>8</v>
      </c>
      <c r="E17" t="s">
        <v>30</v>
      </c>
      <c r="F17" t="s">
        <v>41</v>
      </c>
      <c r="G17" t="s">
        <v>28</v>
      </c>
      <c r="H17" t="s">
        <v>29</v>
      </c>
    </row>
    <row r="18" spans="2:8" x14ac:dyDescent="0.35">
      <c r="B18" s="7">
        <v>39326</v>
      </c>
      <c r="C18">
        <v>91758</v>
      </c>
      <c r="D18" s="8">
        <v>8</v>
      </c>
      <c r="E18" t="s">
        <v>30</v>
      </c>
      <c r="F18" t="s">
        <v>35</v>
      </c>
      <c r="G18" t="s">
        <v>28</v>
      </c>
      <c r="H18" t="s">
        <v>33</v>
      </c>
    </row>
    <row r="19" spans="2:8" x14ac:dyDescent="0.35">
      <c r="B19" s="7">
        <v>38738</v>
      </c>
      <c r="C19">
        <v>19493</v>
      </c>
      <c r="D19" s="8">
        <v>9</v>
      </c>
      <c r="E19" t="s">
        <v>26</v>
      </c>
      <c r="F19" t="s">
        <v>41</v>
      </c>
      <c r="G19" t="s">
        <v>32</v>
      </c>
      <c r="H19" t="s">
        <v>34</v>
      </c>
    </row>
    <row r="20" spans="2:8" x14ac:dyDescent="0.35">
      <c r="B20" s="7">
        <v>38822</v>
      </c>
      <c r="C20">
        <v>480788</v>
      </c>
      <c r="D20" s="8">
        <v>10</v>
      </c>
      <c r="E20" t="s">
        <v>30</v>
      </c>
      <c r="F20" t="s">
        <v>39</v>
      </c>
      <c r="G20" t="s">
        <v>32</v>
      </c>
      <c r="H20" t="s">
        <v>29</v>
      </c>
    </row>
    <row r="21" spans="2:8" x14ac:dyDescent="0.35">
      <c r="B21" s="7">
        <v>38635</v>
      </c>
      <c r="C21">
        <v>21978</v>
      </c>
      <c r="D21" s="8">
        <v>10</v>
      </c>
      <c r="E21" t="s">
        <v>30</v>
      </c>
      <c r="F21" t="s">
        <v>31</v>
      </c>
      <c r="G21" t="s">
        <v>28</v>
      </c>
      <c r="H21" t="s">
        <v>34</v>
      </c>
    </row>
    <row r="22" spans="2:8" x14ac:dyDescent="0.35">
      <c r="B22" s="7">
        <v>39274</v>
      </c>
      <c r="C22">
        <v>444447</v>
      </c>
      <c r="D22" s="8">
        <v>10</v>
      </c>
      <c r="E22" t="s">
        <v>30</v>
      </c>
      <c r="F22" t="s">
        <v>37</v>
      </c>
      <c r="G22" t="s">
        <v>32</v>
      </c>
      <c r="H22" t="s">
        <v>34</v>
      </c>
    </row>
    <row r="23" spans="2:8" x14ac:dyDescent="0.35">
      <c r="B23" s="7">
        <v>39388</v>
      </c>
      <c r="C23">
        <v>17000</v>
      </c>
      <c r="D23" s="8">
        <v>11</v>
      </c>
      <c r="E23" t="s">
        <v>26</v>
      </c>
      <c r="F23" t="s">
        <v>31</v>
      </c>
      <c r="G23" t="s">
        <v>28</v>
      </c>
      <c r="H23" t="s">
        <v>29</v>
      </c>
    </row>
    <row r="24" spans="2:8" x14ac:dyDescent="0.35">
      <c r="B24" s="7">
        <v>39446</v>
      </c>
      <c r="C24">
        <v>10892</v>
      </c>
      <c r="D24" s="8">
        <v>12</v>
      </c>
      <c r="E24" t="s">
        <v>30</v>
      </c>
      <c r="F24" t="s">
        <v>27</v>
      </c>
      <c r="G24" t="s">
        <v>32</v>
      </c>
      <c r="H24" t="s">
        <v>29</v>
      </c>
    </row>
    <row r="25" spans="2:8" x14ac:dyDescent="0.35">
      <c r="B25" s="7">
        <v>38731</v>
      </c>
      <c r="C25">
        <v>23240</v>
      </c>
      <c r="D25" s="8">
        <v>12</v>
      </c>
      <c r="E25" t="s">
        <v>30</v>
      </c>
      <c r="F25" t="s">
        <v>41</v>
      </c>
      <c r="G25" t="s">
        <v>32</v>
      </c>
      <c r="H25" t="s">
        <v>33</v>
      </c>
    </row>
    <row r="26" spans="2:8" x14ac:dyDescent="0.35">
      <c r="B26" s="7">
        <v>39855</v>
      </c>
      <c r="C26">
        <v>18347</v>
      </c>
      <c r="D26" s="8">
        <v>13</v>
      </c>
      <c r="E26" t="s">
        <v>30</v>
      </c>
      <c r="F26" t="s">
        <v>40</v>
      </c>
      <c r="G26" t="s">
        <v>32</v>
      </c>
      <c r="H26" t="s">
        <v>33</v>
      </c>
    </row>
    <row r="27" spans="2:8" x14ac:dyDescent="0.35">
      <c r="B27" s="7">
        <v>39953</v>
      </c>
      <c r="C27">
        <v>402040</v>
      </c>
      <c r="D27" s="8">
        <v>13</v>
      </c>
      <c r="E27" t="s">
        <v>26</v>
      </c>
      <c r="F27" t="s">
        <v>27</v>
      </c>
      <c r="G27" t="s">
        <v>32</v>
      </c>
      <c r="H27" t="s">
        <v>29</v>
      </c>
    </row>
    <row r="28" spans="2:8" x14ac:dyDescent="0.35">
      <c r="B28" s="7">
        <v>38526</v>
      </c>
      <c r="C28">
        <v>13049</v>
      </c>
      <c r="D28" s="8">
        <v>13</v>
      </c>
      <c r="E28" t="s">
        <v>30</v>
      </c>
      <c r="F28" t="s">
        <v>35</v>
      </c>
      <c r="G28" t="s">
        <v>32</v>
      </c>
      <c r="H28" t="s">
        <v>29</v>
      </c>
    </row>
    <row r="29" spans="2:8" x14ac:dyDescent="0.35">
      <c r="B29" s="7">
        <v>39005</v>
      </c>
      <c r="C29">
        <v>21720</v>
      </c>
      <c r="D29" s="8">
        <v>14</v>
      </c>
      <c r="E29" t="s">
        <v>26</v>
      </c>
      <c r="F29" t="s">
        <v>36</v>
      </c>
      <c r="G29" t="s">
        <v>32</v>
      </c>
      <c r="H29" t="s">
        <v>29</v>
      </c>
    </row>
    <row r="30" spans="2:8" x14ac:dyDescent="0.35">
      <c r="B30" s="7">
        <v>40463</v>
      </c>
      <c r="C30">
        <v>207123</v>
      </c>
      <c r="D30" s="8">
        <v>14</v>
      </c>
      <c r="E30" t="s">
        <v>26</v>
      </c>
      <c r="F30" t="s">
        <v>40</v>
      </c>
      <c r="G30" t="s">
        <v>28</v>
      </c>
      <c r="H30" t="s">
        <v>34</v>
      </c>
    </row>
    <row r="31" spans="2:8" x14ac:dyDescent="0.35">
      <c r="B31" s="7">
        <v>39254</v>
      </c>
      <c r="C31">
        <v>24845</v>
      </c>
      <c r="D31" s="8">
        <v>14</v>
      </c>
      <c r="E31" t="s">
        <v>30</v>
      </c>
      <c r="F31" t="s">
        <v>39</v>
      </c>
      <c r="G31" t="s">
        <v>32</v>
      </c>
      <c r="H31" t="s">
        <v>33</v>
      </c>
    </row>
    <row r="32" spans="2:8" x14ac:dyDescent="0.35">
      <c r="B32" s="7">
        <v>38545</v>
      </c>
      <c r="C32">
        <v>20592</v>
      </c>
      <c r="D32" s="8">
        <v>15</v>
      </c>
      <c r="E32" t="s">
        <v>30</v>
      </c>
      <c r="F32" t="s">
        <v>36</v>
      </c>
      <c r="G32" t="s">
        <v>28</v>
      </c>
      <c r="H32" t="s">
        <v>29</v>
      </c>
    </row>
    <row r="33" spans="2:8" x14ac:dyDescent="0.35">
      <c r="B33" s="7">
        <v>39809</v>
      </c>
      <c r="C33">
        <v>26830</v>
      </c>
      <c r="D33" s="8">
        <v>16</v>
      </c>
      <c r="E33" t="s">
        <v>26</v>
      </c>
      <c r="F33" t="s">
        <v>37</v>
      </c>
      <c r="G33" t="s">
        <v>28</v>
      </c>
      <c r="H33" t="s">
        <v>29</v>
      </c>
    </row>
    <row r="34" spans="2:8" x14ac:dyDescent="0.35">
      <c r="B34" s="7">
        <v>39657</v>
      </c>
      <c r="C34">
        <v>465274</v>
      </c>
      <c r="D34" s="8">
        <v>16</v>
      </c>
      <c r="E34" t="s">
        <v>30</v>
      </c>
      <c r="F34" t="s">
        <v>41</v>
      </c>
      <c r="G34" t="s">
        <v>32</v>
      </c>
      <c r="H34" t="s">
        <v>34</v>
      </c>
    </row>
    <row r="35" spans="2:8" x14ac:dyDescent="0.35">
      <c r="B35" s="7">
        <v>38596</v>
      </c>
      <c r="C35">
        <v>25397</v>
      </c>
      <c r="D35" s="8">
        <v>18</v>
      </c>
      <c r="E35" t="s">
        <v>30</v>
      </c>
      <c r="F35" t="s">
        <v>27</v>
      </c>
      <c r="G35" t="s">
        <v>28</v>
      </c>
      <c r="H35" t="s">
        <v>29</v>
      </c>
    </row>
    <row r="36" spans="2:8" x14ac:dyDescent="0.35">
      <c r="B36" s="7">
        <v>40334</v>
      </c>
      <c r="C36">
        <v>34304</v>
      </c>
      <c r="D36" s="8">
        <v>18</v>
      </c>
      <c r="E36" t="s">
        <v>26</v>
      </c>
      <c r="F36" t="s">
        <v>35</v>
      </c>
      <c r="G36" t="s">
        <v>28</v>
      </c>
      <c r="H36" t="s">
        <v>34</v>
      </c>
    </row>
    <row r="37" spans="2:8" x14ac:dyDescent="0.35">
      <c r="B37" s="7">
        <v>39661</v>
      </c>
      <c r="C37">
        <v>16729</v>
      </c>
      <c r="D37" s="8">
        <v>18</v>
      </c>
      <c r="E37" t="s">
        <v>26</v>
      </c>
      <c r="F37" t="s">
        <v>39</v>
      </c>
      <c r="G37" t="s">
        <v>32</v>
      </c>
      <c r="H37" t="s">
        <v>29</v>
      </c>
    </row>
    <row r="38" spans="2:8" x14ac:dyDescent="0.35">
      <c r="B38" s="7">
        <v>40379</v>
      </c>
      <c r="C38">
        <v>122639</v>
      </c>
      <c r="D38" s="8">
        <v>19</v>
      </c>
      <c r="E38" t="s">
        <v>30</v>
      </c>
      <c r="F38" t="s">
        <v>37</v>
      </c>
      <c r="G38" t="s">
        <v>32</v>
      </c>
      <c r="H38" t="s">
        <v>29</v>
      </c>
    </row>
    <row r="39" spans="2:8" x14ac:dyDescent="0.35">
      <c r="B39" s="7">
        <v>38659</v>
      </c>
      <c r="C39">
        <v>19721</v>
      </c>
      <c r="D39" s="8">
        <v>19</v>
      </c>
      <c r="E39" t="s">
        <v>30</v>
      </c>
      <c r="F39" t="s">
        <v>36</v>
      </c>
      <c r="G39" t="s">
        <v>32</v>
      </c>
      <c r="H39" t="s">
        <v>29</v>
      </c>
    </row>
    <row r="40" spans="2:8" x14ac:dyDescent="0.35">
      <c r="B40" s="7">
        <v>39376</v>
      </c>
      <c r="C40">
        <v>20092</v>
      </c>
      <c r="D40" s="8">
        <v>20</v>
      </c>
      <c r="E40" t="s">
        <v>30</v>
      </c>
      <c r="F40" t="s">
        <v>38</v>
      </c>
      <c r="G40" t="s">
        <v>28</v>
      </c>
      <c r="H40" t="s">
        <v>29</v>
      </c>
    </row>
    <row r="41" spans="2:8" x14ac:dyDescent="0.35">
      <c r="B41" s="7">
        <v>38922</v>
      </c>
      <c r="C41">
        <v>199434</v>
      </c>
      <c r="D41" s="8">
        <v>21</v>
      </c>
      <c r="E41" t="s">
        <v>26</v>
      </c>
      <c r="F41" t="s">
        <v>37</v>
      </c>
      <c r="G41" t="s">
        <v>28</v>
      </c>
      <c r="H41" t="s">
        <v>29</v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C1AA5-7402-477A-A515-AE0B78F8540C}">
  <sheetPr codeName="Sheet4"/>
  <dimension ref="A2:D32"/>
  <sheetViews>
    <sheetView topLeftCell="A5" workbookViewId="0">
      <selection activeCell="A5" sqref="A5"/>
    </sheetView>
  </sheetViews>
  <sheetFormatPr defaultRowHeight="14.5" x14ac:dyDescent="0.35"/>
  <cols>
    <col min="1" max="1" width="16.7265625" bestFit="1" customWidth="1"/>
    <col min="2" max="2" width="15.26953125" bestFit="1" customWidth="1"/>
    <col min="3" max="3" width="8.81640625" bestFit="1" customWidth="1"/>
    <col min="4" max="4" width="10.7265625" bestFit="1" customWidth="1"/>
    <col min="5" max="5" width="11.26953125" customWidth="1"/>
    <col min="6" max="6" width="12.26953125" customWidth="1"/>
    <col min="7" max="7" width="10.54296875" customWidth="1"/>
    <col min="8" max="8" width="14.1796875" customWidth="1"/>
    <col min="9" max="9" width="8.54296875" customWidth="1"/>
    <col min="10" max="10" width="7.54296875" customWidth="1"/>
    <col min="11" max="11" width="11.26953125" customWidth="1"/>
    <col min="12" max="12" width="11.453125" customWidth="1"/>
    <col min="13" max="13" width="7" customWidth="1"/>
    <col min="14" max="14" width="7.54296875" customWidth="1"/>
    <col min="15" max="15" width="12.26953125" customWidth="1"/>
    <col min="16" max="16" width="10.54296875" customWidth="1"/>
    <col min="17" max="17" width="14.1796875" customWidth="1"/>
    <col min="18" max="18" width="8.54296875" customWidth="1"/>
    <col min="19" max="19" width="7.54296875" customWidth="1"/>
    <col min="20" max="20" width="14.54296875" customWidth="1"/>
    <col min="21" max="21" width="11.26953125" customWidth="1"/>
    <col min="22" max="22" width="12.26953125" bestFit="1" customWidth="1"/>
    <col min="23" max="23" width="10.54296875" bestFit="1" customWidth="1"/>
    <col min="24" max="24" width="14.1796875" bestFit="1" customWidth="1"/>
    <col min="25" max="25" width="8.54296875" customWidth="1"/>
    <col min="26" max="26" width="7.54296875" customWidth="1"/>
    <col min="27" max="27" width="19.1796875" bestFit="1" customWidth="1"/>
    <col min="28" max="28" width="11.453125" bestFit="1" customWidth="1"/>
    <col min="29" max="29" width="7.54296875" customWidth="1"/>
    <col min="30" max="30" width="12.26953125" bestFit="1" customWidth="1"/>
    <col min="31" max="31" width="10.54296875" bestFit="1" customWidth="1"/>
    <col min="32" max="32" width="8.54296875" customWidth="1"/>
    <col min="33" max="33" width="7.54296875" customWidth="1"/>
    <col min="34" max="34" width="14.54296875" bestFit="1" customWidth="1"/>
    <col min="35" max="35" width="9" customWidth="1"/>
    <col min="36" max="36" width="11.26953125" bestFit="1" customWidth="1"/>
  </cols>
  <sheetData>
    <row r="2" spans="1:4" x14ac:dyDescent="0.35">
      <c r="A2" s="11" t="s">
        <v>25</v>
      </c>
      <c r="B2" t="s">
        <v>42</v>
      </c>
    </row>
    <row r="4" spans="1:4" x14ac:dyDescent="0.35">
      <c r="A4" s="11" t="s">
        <v>43</v>
      </c>
      <c r="B4" s="11" t="s">
        <v>44</v>
      </c>
    </row>
    <row r="5" spans="1:4" x14ac:dyDescent="0.35">
      <c r="A5" s="11" t="s">
        <v>45</v>
      </c>
      <c r="B5" t="s">
        <v>28</v>
      </c>
      <c r="C5" t="s">
        <v>32</v>
      </c>
      <c r="D5" t="s">
        <v>46</v>
      </c>
    </row>
    <row r="6" spans="1:4" x14ac:dyDescent="0.35">
      <c r="A6" s="9" t="s">
        <v>27</v>
      </c>
      <c r="B6" s="12">
        <v>188037</v>
      </c>
      <c r="C6" s="12">
        <v>412932</v>
      </c>
      <c r="D6" s="12">
        <v>600969</v>
      </c>
    </row>
    <row r="7" spans="1:4" x14ac:dyDescent="0.35">
      <c r="A7" s="2" t="s">
        <v>30</v>
      </c>
      <c r="B7" s="12">
        <v>47540</v>
      </c>
      <c r="C7" s="12">
        <v>10892</v>
      </c>
      <c r="D7" s="12">
        <v>58432</v>
      </c>
    </row>
    <row r="8" spans="1:4" x14ac:dyDescent="0.35">
      <c r="A8" s="2" t="s">
        <v>26</v>
      </c>
      <c r="B8" s="12">
        <v>140497</v>
      </c>
      <c r="C8" s="12">
        <v>402040</v>
      </c>
      <c r="D8" s="12">
        <v>542537</v>
      </c>
    </row>
    <row r="9" spans="1:4" x14ac:dyDescent="0.35">
      <c r="A9" s="9" t="s">
        <v>37</v>
      </c>
      <c r="B9" s="12">
        <v>226264</v>
      </c>
      <c r="C9" s="12">
        <v>24890518</v>
      </c>
      <c r="D9" s="12">
        <v>25116782</v>
      </c>
    </row>
    <row r="10" spans="1:4" x14ac:dyDescent="0.35">
      <c r="A10" s="2" t="s">
        <v>30</v>
      </c>
      <c r="B10" s="12"/>
      <c r="C10" s="12">
        <v>24890518</v>
      </c>
      <c r="D10" s="12">
        <v>24890518</v>
      </c>
    </row>
    <row r="11" spans="1:4" x14ac:dyDescent="0.35">
      <c r="A11" s="2" t="s">
        <v>26</v>
      </c>
      <c r="B11" s="12">
        <v>226264</v>
      </c>
      <c r="C11" s="12"/>
      <c r="D11" s="12">
        <v>226264</v>
      </c>
    </row>
    <row r="12" spans="1:4" x14ac:dyDescent="0.35">
      <c r="A12" s="9" t="s">
        <v>38</v>
      </c>
      <c r="B12" s="12">
        <v>20092</v>
      </c>
      <c r="C12" s="12">
        <v>18362</v>
      </c>
      <c r="D12" s="12">
        <v>38454</v>
      </c>
    </row>
    <row r="13" spans="1:4" x14ac:dyDescent="0.35">
      <c r="A13" s="2" t="s">
        <v>30</v>
      </c>
      <c r="B13" s="12">
        <v>20092</v>
      </c>
      <c r="C13" s="12">
        <v>18362</v>
      </c>
      <c r="D13" s="12">
        <v>38454</v>
      </c>
    </row>
    <row r="14" spans="1:4" x14ac:dyDescent="0.35">
      <c r="A14" s="9" t="s">
        <v>35</v>
      </c>
      <c r="B14" s="12">
        <v>126062</v>
      </c>
      <c r="C14" s="12">
        <v>26791</v>
      </c>
      <c r="D14" s="12">
        <v>152853</v>
      </c>
    </row>
    <row r="15" spans="1:4" x14ac:dyDescent="0.35">
      <c r="A15" s="2" t="s">
        <v>30</v>
      </c>
      <c r="B15" s="12">
        <v>91758</v>
      </c>
      <c r="C15" s="12">
        <v>13049</v>
      </c>
      <c r="D15" s="12">
        <v>104807</v>
      </c>
    </row>
    <row r="16" spans="1:4" x14ac:dyDescent="0.35">
      <c r="A16" s="2" t="s">
        <v>26</v>
      </c>
      <c r="B16" s="12">
        <v>34304</v>
      </c>
      <c r="C16" s="12">
        <v>13742</v>
      </c>
      <c r="D16" s="12">
        <v>48046</v>
      </c>
    </row>
    <row r="17" spans="1:4" x14ac:dyDescent="0.35">
      <c r="A17" s="9" t="s">
        <v>36</v>
      </c>
      <c r="B17" s="12">
        <v>501983</v>
      </c>
      <c r="C17" s="12">
        <v>41441</v>
      </c>
      <c r="D17" s="12">
        <v>543424</v>
      </c>
    </row>
    <row r="18" spans="1:4" x14ac:dyDescent="0.35">
      <c r="A18" s="2" t="s">
        <v>30</v>
      </c>
      <c r="B18" s="12">
        <v>20592</v>
      </c>
      <c r="C18" s="12">
        <v>19721</v>
      </c>
      <c r="D18" s="12">
        <v>40313</v>
      </c>
    </row>
    <row r="19" spans="1:4" x14ac:dyDescent="0.35">
      <c r="A19" s="2" t="s">
        <v>26</v>
      </c>
      <c r="B19" s="12">
        <v>481391</v>
      </c>
      <c r="C19" s="12">
        <v>21720</v>
      </c>
      <c r="D19" s="12">
        <v>503111</v>
      </c>
    </row>
    <row r="20" spans="1:4" x14ac:dyDescent="0.35">
      <c r="A20" s="9" t="s">
        <v>41</v>
      </c>
      <c r="B20" s="12">
        <v>248395</v>
      </c>
      <c r="C20" s="12">
        <v>508007</v>
      </c>
      <c r="D20" s="12">
        <v>756402</v>
      </c>
    </row>
    <row r="21" spans="1:4" x14ac:dyDescent="0.35">
      <c r="A21" s="2" t="s">
        <v>30</v>
      </c>
      <c r="B21" s="12">
        <v>248395</v>
      </c>
      <c r="C21" s="12">
        <v>488514</v>
      </c>
      <c r="D21" s="12">
        <v>736909</v>
      </c>
    </row>
    <row r="22" spans="1:4" x14ac:dyDescent="0.35">
      <c r="A22" s="2" t="s">
        <v>26</v>
      </c>
      <c r="B22" s="12"/>
      <c r="C22" s="12">
        <v>19493</v>
      </c>
      <c r="D22" s="12">
        <v>19493</v>
      </c>
    </row>
    <row r="23" spans="1:4" x14ac:dyDescent="0.35">
      <c r="A23" s="9" t="s">
        <v>31</v>
      </c>
      <c r="B23" s="12">
        <v>54541</v>
      </c>
      <c r="C23" s="12">
        <v>19421</v>
      </c>
      <c r="D23" s="12">
        <v>73962</v>
      </c>
    </row>
    <row r="24" spans="1:4" x14ac:dyDescent="0.35">
      <c r="A24" s="2" t="s">
        <v>30</v>
      </c>
      <c r="B24" s="12">
        <v>37541</v>
      </c>
      <c r="C24" s="12">
        <v>19421</v>
      </c>
      <c r="D24" s="12">
        <v>56962</v>
      </c>
    </row>
    <row r="25" spans="1:4" x14ac:dyDescent="0.35">
      <c r="A25" s="2" t="s">
        <v>26</v>
      </c>
      <c r="B25" s="12">
        <v>17000</v>
      </c>
      <c r="C25" s="12"/>
      <c r="D25" s="12">
        <v>17000</v>
      </c>
    </row>
    <row r="26" spans="1:4" x14ac:dyDescent="0.35">
      <c r="A26" s="9" t="s">
        <v>40</v>
      </c>
      <c r="B26" s="12">
        <v>217698</v>
      </c>
      <c r="C26" s="12">
        <v>248460</v>
      </c>
      <c r="D26" s="12">
        <v>466158</v>
      </c>
    </row>
    <row r="27" spans="1:4" x14ac:dyDescent="0.35">
      <c r="A27" s="2" t="s">
        <v>30</v>
      </c>
      <c r="B27" s="12"/>
      <c r="C27" s="12">
        <v>44424</v>
      </c>
      <c r="D27" s="12">
        <v>44424</v>
      </c>
    </row>
    <row r="28" spans="1:4" x14ac:dyDescent="0.35">
      <c r="A28" s="2" t="s">
        <v>26</v>
      </c>
      <c r="B28" s="12">
        <v>217698</v>
      </c>
      <c r="C28" s="12">
        <v>204036</v>
      </c>
      <c r="D28" s="12">
        <v>421734</v>
      </c>
    </row>
    <row r="29" spans="1:4" x14ac:dyDescent="0.35">
      <c r="A29" s="9" t="s">
        <v>39</v>
      </c>
      <c r="B29" s="12">
        <v>10454</v>
      </c>
      <c r="C29" s="12">
        <v>522362</v>
      </c>
      <c r="D29" s="12">
        <v>532816</v>
      </c>
    </row>
    <row r="30" spans="1:4" x14ac:dyDescent="0.35">
      <c r="A30" s="2" t="s">
        <v>30</v>
      </c>
      <c r="B30" s="12">
        <v>10454</v>
      </c>
      <c r="C30" s="12">
        <v>505633</v>
      </c>
      <c r="D30" s="12">
        <v>516087</v>
      </c>
    </row>
    <row r="31" spans="1:4" x14ac:dyDescent="0.35">
      <c r="A31" s="2" t="s">
        <v>26</v>
      </c>
      <c r="B31" s="12"/>
      <c r="C31" s="12">
        <v>16729</v>
      </c>
      <c r="D31" s="12">
        <v>16729</v>
      </c>
    </row>
    <row r="32" spans="1:4" x14ac:dyDescent="0.35">
      <c r="A32" s="9" t="s">
        <v>46</v>
      </c>
      <c r="B32" s="12">
        <v>1593526</v>
      </c>
      <c r="C32" s="12">
        <v>26688294</v>
      </c>
      <c r="D32" s="12">
        <v>28281820</v>
      </c>
    </row>
  </sheetData>
  <dataValidations count="3">
    <dataValidation allowBlank="1" showInputMessage="1" showErrorMessage="1" prompt="it works" sqref="G18" xr:uid="{37A4B2C4-6838-453E-B53A-0507F6C15405}"/>
    <dataValidation allowBlank="1" showInputMessage="1" showErrorMessage="1" prompt="fsdfasd" sqref="G15" xr:uid="{2EB0C5BF-4725-4AE9-BCDA-C135C5470AB8}"/>
    <dataValidation allowBlank="1" showInputMessage="1" showErrorMessage="1" prompt="demo ()" sqref="G9" xr:uid="{268B954D-0BB7-48C6-8C66-4DA3ACE4CAE7}"/>
  </dataValidations>
  <pageMargins left="0.7" right="0.7" top="0.75" bottom="0.75" header="0.3" footer="0.3"/>
  <pageSetup orientation="portrait" horizontalDpi="4294967293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14208-39A0-4863-A04B-5384C49B041B}">
  <sheetPr codeName="Sheet5"/>
  <dimension ref="B1:D4"/>
  <sheetViews>
    <sheetView workbookViewId="0">
      <selection activeCell="D2" sqref="D2"/>
    </sheetView>
  </sheetViews>
  <sheetFormatPr defaultRowHeight="14.5" x14ac:dyDescent="0.35"/>
  <sheetData>
    <row r="1" spans="2:4" x14ac:dyDescent="0.35">
      <c r="B1">
        <f>GETPIVOTDATA("Sum of Amount", Pivot!$A$4, "Segment", "Airlines", "Listed", "No")</f>
        <v>188037</v>
      </c>
      <c r="C1">
        <f>GETPIVOTDATA("Sum of Amount", Pivot!$A$4, "Segment", "Airlines", "Listed", "Yes")</f>
        <v>412932</v>
      </c>
      <c r="D1">
        <f>GETPIVOTDATA("Sum of Amount", Pivot!$A$4, "Segment", "Airlines")</f>
        <v>600969</v>
      </c>
    </row>
    <row r="2" spans="2:4" x14ac:dyDescent="0.35">
      <c r="B2">
        <f>GETPIVOTDATA("Sum of Amount", Pivot!$A$4, "Segment", "Airlines", "Customer Type", "Non-Preferred", "Listed", "No")</f>
        <v>47540</v>
      </c>
      <c r="C2">
        <f>GETPIVOTDATA("Sum of Amount", Pivot!$A$4, "Segment", "Airlines", "Customer Type", "Non-Preferred", "Listed", "Yes")</f>
        <v>10892</v>
      </c>
      <c r="D2">
        <f>GETPIVOTDATA("Sum of Amount", Pivot!$A$4, "Segment", "Airlines", "Customer Type", "Non-Preferred")</f>
        <v>58432</v>
      </c>
    </row>
    <row r="3" spans="2:4" x14ac:dyDescent="0.35">
      <c r="B3">
        <f>GETPIVOTDATA("Sum of Amount", Pivot!$A$4, "Segment", "Airlines", "Customer Type", "Preferred", "Listed", "No")</f>
        <v>140497</v>
      </c>
      <c r="C3">
        <f>GETPIVOTDATA("Sum of Amount", Pivot!$A$4, "Segment", "Airlines", "Customer Type", "Preferred", "Listed", "Yes")</f>
        <v>402040</v>
      </c>
      <c r="D3">
        <f>GETPIVOTDATA("Sum of Amount", Pivot!$A$4, "Segment", "Airlines", "Customer Type", "Preferred")</f>
        <v>542537</v>
      </c>
    </row>
    <row r="4" spans="2:4" x14ac:dyDescent="0.35">
      <c r="B4">
        <f>GETPIVOTDATA("Sum of Amount", Pivot!$A$4, "Segment", "BPO", "Listed", "No")</f>
        <v>226264</v>
      </c>
      <c r="C4">
        <f>GETPIVOTDATA("Sum of Amount", Pivot!$A$4, "Segment", "BPO", "Listed", "Yes")</f>
        <v>24890518</v>
      </c>
      <c r="D4">
        <f>GETPIVOTDATA("Sum of Amount", Pivot!$A$4, "Segment", "BPO")</f>
        <v>25116782</v>
      </c>
    </row>
  </sheetData>
  <dataValidations count="12">
    <dataValidation allowBlank="1" showInputMessage="1" showErrorMessage="1" prompt="Sum of Amount:_x000d__x000a_Segment = BPO_x000d__x000a_" sqref="D4" xr:uid="{783B68B4-97F2-475C-A64D-F793B9DD35CD}"/>
    <dataValidation allowBlank="1" showInputMessage="1" showErrorMessage="1" prompt="Sum of Amount:_x000d__x000a_Segment = BPO_x000d__x000a_Listed = Yes_x000d__x000a_" sqref="C4" xr:uid="{714BA684-4B6A-4917-AAC5-E41898036629}"/>
    <dataValidation allowBlank="1" showInputMessage="1" showErrorMessage="1" prompt="Sum of Amount:_x000d__x000a_Segment = BPO_x000d__x000a_Listed = No_x000d__x000a_" sqref="B4" xr:uid="{9076D453-4755-41A5-B55D-705DE12CDB9F}"/>
    <dataValidation allowBlank="1" showInputMessage="1" showErrorMessage="1" prompt="Sum of Amount:_x000d__x000a_Segment = Airlines_x000d__x000a_Customer Type = Preferred_x000d__x000a_" sqref="D3" xr:uid="{3876017E-496C-49AA-814C-E97D39E1161F}"/>
    <dataValidation allowBlank="1" showInputMessage="1" showErrorMessage="1" prompt="Sum of Amount:_x000d__x000a_Segment = Airlines_x000d__x000a_Customer Type = Preferred_x000d__x000a_Listed = Yes_x000d__x000a_" sqref="C3" xr:uid="{06B38D00-6AC9-42CD-A6AC-AF04382796FF}"/>
    <dataValidation allowBlank="1" showInputMessage="1" showErrorMessage="1" prompt="Sum of Amount:_x000d__x000a_Segment = Airlines_x000d__x000a_Customer Type = Preferred_x000d__x000a_Listed = No_x000d__x000a_" sqref="B3" xr:uid="{A21D498E-FD6F-4573-B087-78327405BDFC}"/>
    <dataValidation allowBlank="1" showInputMessage="1" showErrorMessage="1" prompt="Sum of Amount:_x000d__x000a_Segment = Airlines_x000d__x000a_Customer Type = Non-Preferred_x000d__x000a_" sqref="D2" xr:uid="{BD2C27DC-B57F-4E53-B456-4A37FF8920C7}"/>
    <dataValidation allowBlank="1" showInputMessage="1" showErrorMessage="1" prompt="Sum of Amount:_x000d__x000a_Segment = Airlines_x000d__x000a_Customer Type = Non-Preferred_x000d__x000a_Listed = Yes_x000d__x000a_" sqref="C2" xr:uid="{C9ED05F1-6B13-4366-B5B3-665FCE65B25D}"/>
    <dataValidation allowBlank="1" showInputMessage="1" showErrorMessage="1" prompt="Sum of Amount:_x000d__x000a_Segment = Airlines_x000d__x000a_Customer Type = Non-Preferred_x000d__x000a_Listed = No_x000d__x000a_" sqref="B2" xr:uid="{2B4B2947-772E-4787-9589-CFCD54620767}"/>
    <dataValidation allowBlank="1" showInputMessage="1" showErrorMessage="1" prompt="Sum of Amount:_x000d__x000a_Segment = Airlines_x000d__x000a_" sqref="D1" xr:uid="{EC65357F-8642-464B-8D21-555A3F61C93B}"/>
    <dataValidation allowBlank="1" showInputMessage="1" showErrorMessage="1" prompt="Sum of Amount:_x000d__x000a_Segment = Airlines_x000d__x000a_Listed = Yes_x000d__x000a_" sqref="C1" xr:uid="{B9C0EECE-1465-44D5-8B27-6EF902667C58}"/>
    <dataValidation allowBlank="1" showInputMessage="1" showErrorMessage="1" prompt="Sum of Amount:_x000d__x000a_Segment = Airlines_x000d__x000a_Listed = No_x000d__x000a_" sqref="B1" xr:uid="{87E04508-5EDE-4C3D-A1C2-A61D273B83E1}"/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Data</vt:lpstr>
      <vt:lpstr>Pivot</vt:lpstr>
      <vt:lpstr>Sample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 Chaudhuri</dc:creator>
  <cp:lastModifiedBy>Raj Chaudhuri</cp:lastModifiedBy>
  <dcterms:created xsi:type="dcterms:W3CDTF">2024-12-05T10:53:47Z</dcterms:created>
  <dcterms:modified xsi:type="dcterms:W3CDTF">2024-12-05T11:15:42Z</dcterms:modified>
</cp:coreProperties>
</file>