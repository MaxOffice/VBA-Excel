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filterPrivacy="1" codeName="ThisWorkbook"/>
  <xr:revisionPtr revIDLastSave="0" documentId="13_ncr:1_{788C0B8D-A1BC-4A76-8800-BFCA2EA73E10}" xr6:coauthVersionLast="47" xr6:coauthVersionMax="47" xr10:uidLastSave="{00000000-0000-0000-0000-000000000000}"/>
  <bookViews>
    <workbookView xWindow="-110" yWindow="-110" windowWidth="19420" windowHeight="10420" tabRatio="635" xr2:uid="{00000000-000D-0000-FFFF-FFFF00000000}"/>
  </bookViews>
  <sheets>
    <sheet name="Instructions" sheetId="7" r:id="rId1"/>
    <sheet name="Raw data" sheetId="1" r:id="rId2"/>
    <sheet name="Sample Pivot Table" sheetId="2" r:id="rId3"/>
    <sheet name="Sample Output" sheetId="8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B4" i="8"/>
  <c r="D2" i="8"/>
  <c r="C1" i="8"/>
  <c r="C1" i="2"/>
  <c r="D3" i="8"/>
  <c r="C2" i="8"/>
  <c r="B1" i="8"/>
  <c r="D4" i="8"/>
  <c r="C3" i="8"/>
  <c r="B2" i="8"/>
  <c r="C4" i="8"/>
  <c r="B3" i="8"/>
  <c r="D1" i="8"/>
</calcChain>
</file>

<file path=xl/sharedStrings.xml><?xml version="1.0" encoding="utf-8"?>
<sst xmlns="http://schemas.openxmlformats.org/spreadsheetml/2006/main" count="212" uniqueCount="50">
  <si>
    <t>Due date</t>
  </si>
  <si>
    <t>Amount</t>
  </si>
  <si>
    <t>Aging</t>
  </si>
  <si>
    <t>Customer Type</t>
  </si>
  <si>
    <t>Segment</t>
  </si>
  <si>
    <t>Listed</t>
  </si>
  <si>
    <t>Type of sale</t>
  </si>
  <si>
    <t>Preferred</t>
  </si>
  <si>
    <t>Airlines</t>
  </si>
  <si>
    <t>No</t>
  </si>
  <si>
    <t>New product sale</t>
  </si>
  <si>
    <t>Non-Preferred</t>
  </si>
  <si>
    <t>Manufacturing</t>
  </si>
  <si>
    <t>Yes</t>
  </si>
  <si>
    <t>Product upgrade</t>
  </si>
  <si>
    <t>Service contract</t>
  </si>
  <si>
    <t>Exports</t>
  </si>
  <si>
    <t>Government</t>
  </si>
  <si>
    <t>BPO</t>
  </si>
  <si>
    <t>Defense</t>
  </si>
  <si>
    <t>Trading</t>
  </si>
  <si>
    <t>Telecom</t>
  </si>
  <si>
    <t>Healthcare</t>
  </si>
  <si>
    <t>Row Labels</t>
  </si>
  <si>
    <t>Grand Total</t>
  </si>
  <si>
    <t>Column Labels</t>
  </si>
  <si>
    <t>Sum of Amount</t>
  </si>
  <si>
    <t>(All)</t>
  </si>
  <si>
    <t>Keep this file open.</t>
  </si>
  <si>
    <t>Run the macro "pastepivot"</t>
  </si>
  <si>
    <t>A new sheet will be added with GetPivotData references to the selected cells</t>
  </si>
  <si>
    <t>A tooltip also appears in each cell explaining what it is</t>
  </si>
  <si>
    <t>Pasting works only with cells from Data area. If you select Row or Column area cells, those will appear blank.</t>
  </si>
  <si>
    <t>Objective</t>
  </si>
  <si>
    <t>Allow you to paste many cells from data area as GetPivotData formulas in a new sheet.</t>
  </si>
  <si>
    <t xml:space="preserve">You can copy the output and paste it into your actual calculation. </t>
  </si>
  <si>
    <t>Go to your Pivot Table</t>
  </si>
  <si>
    <t>Select desired cells from the data area of your Pivot Table</t>
  </si>
  <si>
    <t>Go to View tab - Click Macros</t>
  </si>
  <si>
    <t>Instructions</t>
  </si>
  <si>
    <t>Disclaimer</t>
  </si>
  <si>
    <t>Please use it at your own risk. We are not responsible for any data corruption or monetary loss.</t>
  </si>
  <si>
    <t>Open your file containing Pivot Table. Take backup to be on the safer side.</t>
  </si>
  <si>
    <t>Suggestions or Feedback</t>
  </si>
  <si>
    <t>nitin@maxoffice.biz</t>
  </si>
  <si>
    <t>Paste as GetPivotData utility</t>
  </si>
  <si>
    <t>Created by Dr Nitin Paranjape and Raj Chaudhuri</t>
  </si>
  <si>
    <t>Sample Pasted data is shown in "Output" sheet</t>
  </si>
  <si>
    <t>Please read these articles to understand the topic and the context</t>
  </si>
  <si>
    <t>Irritating feature = Extremely useful :) GetPivotData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</si>
</sst>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Font="1" applyFill="1" applyBorder="1"/>
    <xf numFmtId="164" fontId="0" fillId="0" borderId="0" xfId="0" applyNumberFormat="1" applyFont="1" applyFill="1" applyBorder="1"/>
    <xf numFmtId="1" fontId="0" fillId="0" borderId="0" xfId="0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2" fillId="0" borderId="1" xfId="2"/>
    <xf numFmtId="0" fontId="2" fillId="0" borderId="1" xfId="2" applyAlignment="1"/>
    <xf numFmtId="0" fontId="3" fillId="0" borderId="0" xfId="3"/>
    <xf numFmtId="0" fontId="1" fillId="0" borderId="0" xfId="1"/>
    <xf numFmtId="0" fontId="3" fillId="0" borderId="0" xfId="3" applyAlignment="1">
      <alignment horizontal="left" indent="1"/>
    </xf>
    <xf numFmtId="0" fontId="2" fillId="0" borderId="1" xfId="2" applyAlignment="1">
      <alignment horizontal="left"/>
    </xf>
  </cellXfs>
  <cellStyles count="4">
    <cellStyle name="Heading 1" xfId="2" builtinId="16"/>
    <cellStyle name="Hyperlink" xfId="3" builtinId="8"/>
    <cellStyle name="Normal" xfId="0" builtinId="0"/>
    <cellStyle name="Title" xfId="1" builtinId="15"/>
  </cellStyles>
  <dxfs count="12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ill>
        <patternFill>
          <bgColor rgb="FF9FD5B7"/>
        </patternFill>
      </fill>
    </dxf>
    <dxf>
      <font>
        <b/>
        <i val="0"/>
        <color rgb="FFFFFFFF"/>
      </font>
      <fill>
        <patternFill>
          <bgColor rgb="FF217346"/>
        </patternFill>
      </fill>
    </dxf>
    <dxf>
      <border>
        <left style="thin">
          <color rgb="FF439467"/>
        </left>
        <right style="thin">
          <color rgb="FF439467"/>
        </right>
        <top style="thin">
          <color rgb="FF439467"/>
        </top>
        <bottom style="thin">
          <color rgb="FF439467"/>
        </bottom>
        <horizontal style="thin">
          <color rgb="FF439467"/>
        </horizontal>
      </border>
    </dxf>
    <dxf>
      <fill>
        <patternFill>
          <bgColor rgb="FFFCE4D6"/>
        </patternFill>
      </fill>
    </dxf>
    <dxf>
      <font>
        <b/>
        <i val="0"/>
        <color rgb="FFFFFFFF"/>
      </font>
      <fill>
        <patternFill>
          <bgColor rgb="FFED7D31"/>
        </patternFill>
      </fill>
    </dxf>
    <dxf>
      <border>
        <left style="thin">
          <color rgb="FFF4B084"/>
        </left>
        <right style="thin">
          <color rgb="FFF4B084"/>
        </right>
        <top style="thin">
          <color rgb="FFF4B084"/>
        </top>
        <bottom style="thin">
          <color rgb="FFF4B084"/>
        </bottom>
        <horizontal style="thin">
          <color rgb="FFF4B084"/>
        </horizontal>
      </border>
    </dxf>
  </dxfs>
  <tableStyles count="4" defaultTableStyle="TableStyleMedium2" defaultPivotStyle="PivotStyleLight16">
    <tableStyle name="TableStyleQueryError" pivot="0" count="3" xr9:uid="{00000000-0011-0000-FFFF-FFFF00000000}">
      <tableStyleElement type="wholeTable" dxfId="11"/>
      <tableStyleElement type="headerRow" dxfId="10"/>
      <tableStyleElement type="firstRowStripe" dxfId="9"/>
    </tableStyle>
    <tableStyle name="TableStyleQueryInfo" pivot="0" count="3" xr9:uid="{00000000-0011-0000-FFFF-FFFF01000000}">
      <tableStyleElement type="wholeTable" dxfId="8"/>
      <tableStyleElement type="headerRow" dxfId="7"/>
      <tableStyleElement type="firstRowStripe" dxfId="6"/>
    </tableStyle>
    <tableStyle name="TableStyleQueryPreview" pivot="0" count="3" xr9:uid="{00000000-0011-0000-FFFF-FFFF02000000}">
      <tableStyleElement type="wholeTable" dxfId="5"/>
      <tableStyleElement type="headerRow" dxfId="4"/>
      <tableStyleElement type="firstRowStripe" dxfId="3"/>
    </tableStyle>
    <tableStyle name="TableStyleQueryResult" pivot="0" count="3" xr9:uid="{00000000-0011-0000-FFFF-FFFF03000000}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itinuser/Documents/IP/Excel%20Tools/getpivotdata%20tool/Paste%20as%20GetPivotData%20-%20with%20documentatio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525.626299189818" createdVersion="5" refreshedVersion="5" minRefreshableVersion="3" recordCount="37" xr:uid="{00000000-000A-0000-FFFF-FFFF1A000000}">
  <cacheSource type="worksheet">
    <worksheetSource name="Table1" r:id="rId2"/>
  </cacheSource>
  <cacheFields count="7">
    <cacheField name="Due date" numFmtId="164">
      <sharedItems containsSemiMixedTypes="0" containsNonDate="0" containsDate="1" containsString="0" minDate="2005-06-23T00:00:00" maxDate="2010-10-13T00:00:00"/>
    </cacheField>
    <cacheField name="Amount" numFmtId="0">
      <sharedItems containsSemiMixedTypes="0" containsString="0" containsNumber="1" containsInteger="1" minValue="10454" maxValue="481391"/>
    </cacheField>
    <cacheField name="Aging" numFmtId="1">
      <sharedItems containsSemiMixedTypes="0" containsString="0" containsNumber="1" containsInteger="1" minValue="1" maxValue="21"/>
    </cacheField>
    <cacheField name="Customer Type" numFmtId="0">
      <sharedItems count="2">
        <s v="Preferred"/>
        <s v="Non-Preferred"/>
      </sharedItems>
    </cacheField>
    <cacheField name="Segment" numFmtId="0">
      <sharedItems count="9">
        <s v="Airlines"/>
        <s v="Manufacturing"/>
        <s v="Exports"/>
        <s v="Government"/>
        <s v="BPO"/>
        <s v="Defense"/>
        <s v="Trading"/>
        <s v="Telecom"/>
        <s v="Healthcare"/>
      </sharedItems>
    </cacheField>
    <cacheField name="Listed" numFmtId="0">
      <sharedItems count="2">
        <s v="No"/>
        <s v="Yes"/>
      </sharedItems>
    </cacheField>
    <cacheField name="Type of sale" numFmtId="0">
      <sharedItems count="3">
        <s v="New product sale"/>
        <s v="Product upgrade"/>
        <s v="Service contrac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d v="2005-08-01T00:00:00"/>
    <n v="140497"/>
    <n v="1"/>
    <x v="0"/>
    <x v="0"/>
    <x v="0"/>
    <x v="0"/>
  </r>
  <r>
    <d v="2009-12-22T00:00:00"/>
    <n v="19421"/>
    <n v="1"/>
    <x v="1"/>
    <x v="1"/>
    <x v="1"/>
    <x v="1"/>
  </r>
  <r>
    <d v="2009-06-08T00:00:00"/>
    <n v="22143"/>
    <n v="2"/>
    <x v="1"/>
    <x v="0"/>
    <x v="0"/>
    <x v="2"/>
  </r>
  <r>
    <d v="2009-12-08T00:00:00"/>
    <n v="13742"/>
    <n v="2"/>
    <x v="0"/>
    <x v="2"/>
    <x v="1"/>
    <x v="2"/>
  </r>
  <r>
    <d v="2006-09-10T00:00:00"/>
    <n v="15563"/>
    <n v="2"/>
    <x v="1"/>
    <x v="1"/>
    <x v="0"/>
    <x v="0"/>
  </r>
  <r>
    <d v="2007-10-24T00:00:00"/>
    <n v="481391"/>
    <n v="2"/>
    <x v="0"/>
    <x v="3"/>
    <x v="0"/>
    <x v="2"/>
  </r>
  <r>
    <d v="2009-05-07T00:00:00"/>
    <n v="11264"/>
    <n v="2"/>
    <x v="1"/>
    <x v="4"/>
    <x v="1"/>
    <x v="2"/>
  </r>
  <r>
    <d v="2008-12-24T00:00:00"/>
    <n v="18362"/>
    <n v="2"/>
    <x v="1"/>
    <x v="5"/>
    <x v="1"/>
    <x v="2"/>
  </r>
  <r>
    <d v="2008-11-20T00:00:00"/>
    <n v="10454"/>
    <n v="2"/>
    <x v="1"/>
    <x v="6"/>
    <x v="0"/>
    <x v="2"/>
  </r>
  <r>
    <d v="2006-06-14T00:00:00"/>
    <n v="26077"/>
    <n v="2"/>
    <x v="1"/>
    <x v="7"/>
    <x v="1"/>
    <x v="1"/>
  </r>
  <r>
    <d v="2007-09-08T00:00:00"/>
    <n v="10575"/>
    <n v="6"/>
    <x v="0"/>
    <x v="7"/>
    <x v="0"/>
    <x v="2"/>
  </r>
  <r>
    <d v="2010-03-15T00:00:00"/>
    <n v="204036"/>
    <n v="7"/>
    <x v="0"/>
    <x v="7"/>
    <x v="1"/>
    <x v="1"/>
  </r>
  <r>
    <d v="2005-09-17T00:00:00"/>
    <n v="248395"/>
    <n v="8"/>
    <x v="1"/>
    <x v="8"/>
    <x v="0"/>
    <x v="0"/>
  </r>
  <r>
    <d v="2007-09-01T00:00:00"/>
    <n v="91758"/>
    <n v="8"/>
    <x v="1"/>
    <x v="2"/>
    <x v="0"/>
    <x v="1"/>
  </r>
  <r>
    <d v="2006-01-21T00:00:00"/>
    <n v="19493"/>
    <n v="9"/>
    <x v="0"/>
    <x v="8"/>
    <x v="1"/>
    <x v="2"/>
  </r>
  <r>
    <d v="2006-04-15T00:00:00"/>
    <n v="480788"/>
    <n v="10"/>
    <x v="1"/>
    <x v="6"/>
    <x v="1"/>
    <x v="0"/>
  </r>
  <r>
    <d v="2005-10-10T00:00:00"/>
    <n v="21978"/>
    <n v="10"/>
    <x v="1"/>
    <x v="1"/>
    <x v="0"/>
    <x v="2"/>
  </r>
  <r>
    <d v="2007-07-11T00:00:00"/>
    <n v="444447"/>
    <n v="10"/>
    <x v="1"/>
    <x v="4"/>
    <x v="1"/>
    <x v="2"/>
  </r>
  <r>
    <d v="2007-11-02T00:00:00"/>
    <n v="17000"/>
    <n v="11"/>
    <x v="0"/>
    <x v="1"/>
    <x v="0"/>
    <x v="0"/>
  </r>
  <r>
    <d v="2007-12-30T00:00:00"/>
    <n v="10892"/>
    <n v="12"/>
    <x v="1"/>
    <x v="0"/>
    <x v="1"/>
    <x v="0"/>
  </r>
  <r>
    <d v="2006-01-14T00:00:00"/>
    <n v="23240"/>
    <n v="12"/>
    <x v="1"/>
    <x v="8"/>
    <x v="1"/>
    <x v="1"/>
  </r>
  <r>
    <d v="2009-02-11T00:00:00"/>
    <n v="18347"/>
    <n v="13"/>
    <x v="1"/>
    <x v="7"/>
    <x v="1"/>
    <x v="1"/>
  </r>
  <r>
    <d v="2009-05-20T00:00:00"/>
    <n v="402040"/>
    <n v="13"/>
    <x v="0"/>
    <x v="0"/>
    <x v="1"/>
    <x v="0"/>
  </r>
  <r>
    <d v="2005-06-23T00:00:00"/>
    <n v="13049"/>
    <n v="13"/>
    <x v="1"/>
    <x v="2"/>
    <x v="1"/>
    <x v="0"/>
  </r>
  <r>
    <d v="2006-10-15T00:00:00"/>
    <n v="21720"/>
    <n v="14"/>
    <x v="0"/>
    <x v="3"/>
    <x v="1"/>
    <x v="0"/>
  </r>
  <r>
    <d v="2010-10-12T00:00:00"/>
    <n v="207123"/>
    <n v="14"/>
    <x v="0"/>
    <x v="7"/>
    <x v="0"/>
    <x v="2"/>
  </r>
  <r>
    <d v="2007-06-21T00:00:00"/>
    <n v="24845"/>
    <n v="14"/>
    <x v="1"/>
    <x v="6"/>
    <x v="1"/>
    <x v="1"/>
  </r>
  <r>
    <d v="2005-07-12T00:00:00"/>
    <n v="20592"/>
    <n v="15"/>
    <x v="1"/>
    <x v="3"/>
    <x v="0"/>
    <x v="0"/>
  </r>
  <r>
    <d v="2008-12-27T00:00:00"/>
    <n v="26830"/>
    <n v="16"/>
    <x v="0"/>
    <x v="4"/>
    <x v="0"/>
    <x v="0"/>
  </r>
  <r>
    <d v="2008-07-28T00:00:00"/>
    <n v="465274"/>
    <n v="16"/>
    <x v="1"/>
    <x v="8"/>
    <x v="1"/>
    <x v="2"/>
  </r>
  <r>
    <d v="2005-09-01T00:00:00"/>
    <n v="25397"/>
    <n v="18"/>
    <x v="1"/>
    <x v="0"/>
    <x v="0"/>
    <x v="0"/>
  </r>
  <r>
    <d v="2010-06-05T00:00:00"/>
    <n v="34304"/>
    <n v="18"/>
    <x v="0"/>
    <x v="2"/>
    <x v="0"/>
    <x v="2"/>
  </r>
  <r>
    <d v="2008-08-01T00:00:00"/>
    <n v="16729"/>
    <n v="18"/>
    <x v="0"/>
    <x v="6"/>
    <x v="1"/>
    <x v="0"/>
  </r>
  <r>
    <d v="2010-07-20T00:00:00"/>
    <n v="122639"/>
    <n v="19"/>
    <x v="1"/>
    <x v="4"/>
    <x v="1"/>
    <x v="0"/>
  </r>
  <r>
    <d v="2005-11-03T00:00:00"/>
    <n v="19721"/>
    <n v="19"/>
    <x v="1"/>
    <x v="3"/>
    <x v="1"/>
    <x v="0"/>
  </r>
  <r>
    <d v="2007-10-21T00:00:00"/>
    <n v="20092"/>
    <n v="20"/>
    <x v="1"/>
    <x v="5"/>
    <x v="0"/>
    <x v="0"/>
  </r>
  <r>
    <d v="2006-07-24T00:00:00"/>
    <n v="199434"/>
    <n v="21"/>
    <x v="0"/>
    <x v="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est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4:D32" firstHeaderRow="1" firstDataRow="2" firstDataCol="1" rowPageCount="1" colPageCount="1"/>
  <pivotFields count="7">
    <pivotField numFmtId="164" showAll="0"/>
    <pivotField dataField="1" showAll="0"/>
    <pivotField numFmtId="1" showAll="0"/>
    <pivotField axis="axisRow" showAll="0">
      <items count="3">
        <item x="1"/>
        <item x="0"/>
        <item t="default"/>
      </items>
    </pivotField>
    <pivotField axis="axisRow" showAll="0">
      <items count="10">
        <item x="0"/>
        <item x="4"/>
        <item x="5"/>
        <item x="2"/>
        <item x="3"/>
        <item x="8"/>
        <item x="1"/>
        <item x="7"/>
        <item x="6"/>
        <item t="default"/>
      </items>
    </pivotField>
    <pivotField axis="axisCol" showAll="0">
      <items count="3">
        <item x="0"/>
        <item x="1"/>
        <item t="default"/>
      </items>
    </pivotField>
    <pivotField axis="axisPage" showAll="0">
      <items count="4">
        <item x="0"/>
        <item x="1"/>
        <item x="2"/>
        <item t="default"/>
      </items>
    </pivotField>
  </pivotFields>
  <rowFields count="2">
    <field x="4"/>
    <field x="3"/>
  </rowFields>
  <rowItems count="27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>
      <x v="8"/>
    </i>
    <i r="1">
      <x/>
    </i>
    <i r="1">
      <x v="1"/>
    </i>
    <i t="grand">
      <x/>
    </i>
  </rowItems>
  <colFields count="1">
    <field x="5"/>
  </colFields>
  <colItems count="3">
    <i>
      <x/>
    </i>
    <i>
      <x v="1"/>
    </i>
    <i t="grand">
      <x/>
    </i>
  </colItems>
  <pageFields count="1">
    <pageField fld="6" hier="-1"/>
  </pageFields>
  <dataFields count="1">
    <dataField name="Sum of Amount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4:H41" totalsRowShown="0">
  <autoFilter ref="B4:H41" xr:uid="{00000000-0009-0000-0100-000001000000}"/>
  <tableColumns count="7">
    <tableColumn id="1" xr3:uid="{00000000-0010-0000-0000-000001000000}" name="Due date"/>
    <tableColumn id="2" xr3:uid="{00000000-0010-0000-0000-000002000000}" name="Amount"/>
    <tableColumn id="3" xr3:uid="{00000000-0010-0000-0000-000003000000}" name="Aging"/>
    <tableColumn id="4" xr3:uid="{00000000-0010-0000-0000-000004000000}" name="Customer Type"/>
    <tableColumn id="5" xr3:uid="{00000000-0010-0000-0000-000005000000}" name="Segment"/>
    <tableColumn id="6" xr3:uid="{00000000-0010-0000-0000-000006000000}" name="Listed"/>
    <tableColumn id="7" xr3:uid="{00000000-0010-0000-0000-000007000000}" name="Type of sal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efficiency365.wordpress.com/2014/03/14/irritating-feature-extremely-useful-getpivotdata/" TargetMode="External"/><Relationship Id="rId1" Type="http://schemas.openxmlformats.org/officeDocument/2006/relationships/hyperlink" Target="mailto:nitin@maxoffice.biz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M26"/>
  <sheetViews>
    <sheetView showGridLines="0" tabSelected="1" workbookViewId="0">
      <selection activeCell="J10" sqref="J10"/>
    </sheetView>
  </sheetViews>
  <sheetFormatPr defaultRowHeight="14.5" x14ac:dyDescent="0.35"/>
  <sheetData>
    <row r="1" spans="2:13" ht="23.5" x14ac:dyDescent="0.55000000000000004">
      <c r="B1" s="11" t="s">
        <v>45</v>
      </c>
    </row>
    <row r="2" spans="2:13" x14ac:dyDescent="0.35">
      <c r="B2" t="s">
        <v>46</v>
      </c>
    </row>
    <row r="4" spans="2:13" ht="20" thickBot="1" x14ac:dyDescent="0.5">
      <c r="B4" s="13" t="s">
        <v>33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</row>
    <row r="5" spans="2:13" ht="15" thickTop="1" x14ac:dyDescent="0.35">
      <c r="C5" s="7" t="s">
        <v>34</v>
      </c>
    </row>
    <row r="6" spans="2:13" x14ac:dyDescent="0.35">
      <c r="C6" s="7" t="s">
        <v>48</v>
      </c>
    </row>
    <row r="7" spans="2:13" x14ac:dyDescent="0.35">
      <c r="C7" s="12" t="s">
        <v>49</v>
      </c>
    </row>
    <row r="8" spans="2:13" x14ac:dyDescent="0.35">
      <c r="C8" s="12"/>
    </row>
    <row r="9" spans="2:13" ht="20" thickBot="1" x14ac:dyDescent="0.5">
      <c r="B9" s="9" t="s">
        <v>39</v>
      </c>
      <c r="C9" s="9"/>
      <c r="D9" s="9"/>
      <c r="E9" s="9"/>
      <c r="F9" s="9"/>
      <c r="G9" s="8"/>
      <c r="H9" s="8"/>
      <c r="I9" s="8"/>
      <c r="J9" s="8"/>
      <c r="K9" s="8"/>
      <c r="L9" s="8"/>
      <c r="M9" s="8"/>
    </row>
    <row r="10" spans="2:13" ht="15" thickTop="1" x14ac:dyDescent="0.35">
      <c r="B10">
        <v>1</v>
      </c>
      <c r="C10" s="7" t="s">
        <v>28</v>
      </c>
    </row>
    <row r="11" spans="2:13" x14ac:dyDescent="0.35">
      <c r="B11">
        <v>2</v>
      </c>
      <c r="C11" s="7" t="s">
        <v>42</v>
      </c>
    </row>
    <row r="12" spans="2:13" x14ac:dyDescent="0.35">
      <c r="B12">
        <v>3</v>
      </c>
      <c r="C12" s="7" t="s">
        <v>36</v>
      </c>
    </row>
    <row r="13" spans="2:13" x14ac:dyDescent="0.35">
      <c r="B13">
        <v>4</v>
      </c>
      <c r="C13" s="7" t="s">
        <v>37</v>
      </c>
    </row>
    <row r="14" spans="2:13" x14ac:dyDescent="0.35">
      <c r="B14">
        <v>5</v>
      </c>
      <c r="C14" s="7" t="s">
        <v>38</v>
      </c>
    </row>
    <row r="15" spans="2:13" x14ac:dyDescent="0.35">
      <c r="B15">
        <v>6</v>
      </c>
      <c r="C15" s="7" t="s">
        <v>29</v>
      </c>
    </row>
    <row r="16" spans="2:13" x14ac:dyDescent="0.35">
      <c r="B16">
        <v>7</v>
      </c>
      <c r="C16" s="7" t="s">
        <v>30</v>
      </c>
    </row>
    <row r="17" spans="2:13" x14ac:dyDescent="0.35">
      <c r="B17">
        <v>8</v>
      </c>
      <c r="C17" s="7" t="s">
        <v>31</v>
      </c>
    </row>
    <row r="18" spans="2:13" x14ac:dyDescent="0.35">
      <c r="B18">
        <v>9</v>
      </c>
      <c r="C18" s="7" t="s">
        <v>32</v>
      </c>
    </row>
    <row r="19" spans="2:13" x14ac:dyDescent="0.35">
      <c r="B19">
        <v>10</v>
      </c>
      <c r="C19" s="7" t="s">
        <v>47</v>
      </c>
    </row>
    <row r="20" spans="2:13" x14ac:dyDescent="0.35">
      <c r="B20">
        <v>11</v>
      </c>
      <c r="C20" s="7" t="s">
        <v>35</v>
      </c>
    </row>
    <row r="22" spans="2:13" ht="20" thickBot="1" x14ac:dyDescent="0.5">
      <c r="B22" s="13" t="s">
        <v>40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</row>
    <row r="23" spans="2:13" ht="15" thickTop="1" x14ac:dyDescent="0.35">
      <c r="C23" s="7" t="s">
        <v>41</v>
      </c>
    </row>
    <row r="25" spans="2:13" ht="20" thickBot="1" x14ac:dyDescent="0.5">
      <c r="B25" s="13" t="s">
        <v>43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</row>
    <row r="26" spans="2:13" ht="15" thickTop="1" x14ac:dyDescent="0.35">
      <c r="C26" s="10" t="s">
        <v>44</v>
      </c>
    </row>
  </sheetData>
  <mergeCells count="3">
    <mergeCell ref="B4:M4"/>
    <mergeCell ref="B22:M22"/>
    <mergeCell ref="B25:M25"/>
  </mergeCells>
  <hyperlinks>
    <hyperlink ref="C26" r:id="rId1" xr:uid="{00000000-0004-0000-0000-000000000000}"/>
    <hyperlink ref="C7" r:id="rId2" display="http://efficiency365.wordpress.com/2014/03/14/irritating-feature-extremely-useful-getpivotdata/" xr:uid="{00000000-0004-0000-0000-000001000000}"/>
  </hyperlinks>
  <pageMargins left="0.7" right="0.7" top="0.75" bottom="0.75" header="0.3" footer="0.3"/>
  <pageSetup orientation="portrait" horizontalDpi="4294967293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4:H41"/>
  <sheetViews>
    <sheetView zoomScaleNormal="100" workbookViewId="0">
      <selection activeCell="E12" sqref="E12"/>
    </sheetView>
  </sheetViews>
  <sheetFormatPr defaultRowHeight="14.5" x14ac:dyDescent="0.35"/>
  <cols>
    <col min="2" max="2" width="31.26953125" customWidth="1"/>
    <col min="3" max="3" width="10.1796875" customWidth="1"/>
    <col min="5" max="5" width="14.7265625" customWidth="1"/>
    <col min="6" max="6" width="14" bestFit="1" customWidth="1"/>
    <col min="8" max="8" width="16.54296875" bestFit="1" customWidth="1"/>
  </cols>
  <sheetData>
    <row r="4" spans="2:8" x14ac:dyDescent="0.35"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  <c r="G4" s="1" t="s">
        <v>5</v>
      </c>
      <c r="H4" s="1" t="s">
        <v>6</v>
      </c>
    </row>
    <row r="5" spans="2:8" x14ac:dyDescent="0.35">
      <c r="B5" s="2">
        <v>38565</v>
      </c>
      <c r="C5" s="1">
        <v>140497</v>
      </c>
      <c r="D5" s="3">
        <v>1</v>
      </c>
      <c r="E5" s="1" t="s">
        <v>7</v>
      </c>
      <c r="F5" s="1" t="s">
        <v>8</v>
      </c>
      <c r="G5" s="1" t="s">
        <v>9</v>
      </c>
      <c r="H5" s="1" t="s">
        <v>10</v>
      </c>
    </row>
    <row r="6" spans="2:8" x14ac:dyDescent="0.35">
      <c r="B6" s="2">
        <v>40169</v>
      </c>
      <c r="C6" s="1">
        <v>19421</v>
      </c>
      <c r="D6" s="3">
        <v>1</v>
      </c>
      <c r="E6" s="1" t="s">
        <v>11</v>
      </c>
      <c r="F6" s="1" t="s">
        <v>12</v>
      </c>
      <c r="G6" s="1" t="s">
        <v>13</v>
      </c>
      <c r="H6" s="1" t="s">
        <v>14</v>
      </c>
    </row>
    <row r="7" spans="2:8" x14ac:dyDescent="0.35">
      <c r="B7" s="2">
        <v>39972</v>
      </c>
      <c r="C7" s="1">
        <v>22143</v>
      </c>
      <c r="D7" s="3">
        <v>2</v>
      </c>
      <c r="E7" s="1" t="s">
        <v>11</v>
      </c>
      <c r="F7" s="1" t="s">
        <v>8</v>
      </c>
      <c r="G7" s="1" t="s">
        <v>9</v>
      </c>
      <c r="H7" s="1" t="s">
        <v>15</v>
      </c>
    </row>
    <row r="8" spans="2:8" x14ac:dyDescent="0.35">
      <c r="B8" s="2">
        <v>40155</v>
      </c>
      <c r="C8" s="1">
        <v>13742</v>
      </c>
      <c r="D8" s="3">
        <v>2</v>
      </c>
      <c r="E8" s="1" t="s">
        <v>7</v>
      </c>
      <c r="F8" s="1" t="s">
        <v>16</v>
      </c>
      <c r="G8" s="1" t="s">
        <v>13</v>
      </c>
      <c r="H8" s="1" t="s">
        <v>15</v>
      </c>
    </row>
    <row r="9" spans="2:8" x14ac:dyDescent="0.35">
      <c r="B9" s="2">
        <v>38970</v>
      </c>
      <c r="C9" s="1">
        <v>15563</v>
      </c>
      <c r="D9" s="3">
        <v>2</v>
      </c>
      <c r="E9" s="1" t="s">
        <v>11</v>
      </c>
      <c r="F9" s="1" t="s">
        <v>12</v>
      </c>
      <c r="G9" s="1" t="s">
        <v>9</v>
      </c>
      <c r="H9" s="1" t="s">
        <v>10</v>
      </c>
    </row>
    <row r="10" spans="2:8" x14ac:dyDescent="0.35">
      <c r="B10" s="2">
        <v>39379</v>
      </c>
      <c r="C10" s="1">
        <v>481391</v>
      </c>
      <c r="D10" s="3">
        <v>2</v>
      </c>
      <c r="E10" s="1" t="s">
        <v>7</v>
      </c>
      <c r="F10" s="1" t="s">
        <v>17</v>
      </c>
      <c r="G10" s="1" t="s">
        <v>9</v>
      </c>
      <c r="H10" s="1" t="s">
        <v>15</v>
      </c>
    </row>
    <row r="11" spans="2:8" x14ac:dyDescent="0.35">
      <c r="B11" s="2">
        <v>39940</v>
      </c>
      <c r="C11" s="1">
        <v>24323432</v>
      </c>
      <c r="D11" s="3">
        <v>2</v>
      </c>
      <c r="E11" s="1" t="s">
        <v>11</v>
      </c>
      <c r="F11" s="1" t="s">
        <v>18</v>
      </c>
      <c r="G11" s="1" t="s">
        <v>13</v>
      </c>
      <c r="H11" s="1" t="s">
        <v>15</v>
      </c>
    </row>
    <row r="12" spans="2:8" x14ac:dyDescent="0.35">
      <c r="B12" s="2">
        <v>39806</v>
      </c>
      <c r="C12" s="1">
        <v>18362</v>
      </c>
      <c r="D12" s="3">
        <v>2</v>
      </c>
      <c r="E12" s="1" t="s">
        <v>11</v>
      </c>
      <c r="F12" s="1" t="s">
        <v>19</v>
      </c>
      <c r="G12" s="1" t="s">
        <v>13</v>
      </c>
      <c r="H12" s="1" t="s">
        <v>15</v>
      </c>
    </row>
    <row r="13" spans="2:8" x14ac:dyDescent="0.35">
      <c r="B13" s="2">
        <v>39772</v>
      </c>
      <c r="C13" s="1">
        <v>10454</v>
      </c>
      <c r="D13" s="3">
        <v>2</v>
      </c>
      <c r="E13" s="1" t="s">
        <v>11</v>
      </c>
      <c r="F13" s="1" t="s">
        <v>20</v>
      </c>
      <c r="G13" s="1" t="s">
        <v>9</v>
      </c>
      <c r="H13" s="1" t="s">
        <v>15</v>
      </c>
    </row>
    <row r="14" spans="2:8" x14ac:dyDescent="0.35">
      <c r="B14" s="2">
        <v>38882</v>
      </c>
      <c r="C14" s="1">
        <v>26077</v>
      </c>
      <c r="D14" s="3">
        <v>2</v>
      </c>
      <c r="E14" s="1" t="s">
        <v>11</v>
      </c>
      <c r="F14" s="1" t="s">
        <v>21</v>
      </c>
      <c r="G14" s="1" t="s">
        <v>13</v>
      </c>
      <c r="H14" s="1" t="s">
        <v>14</v>
      </c>
    </row>
    <row r="15" spans="2:8" x14ac:dyDescent="0.35">
      <c r="B15" s="2">
        <v>39333</v>
      </c>
      <c r="C15" s="1">
        <v>10575</v>
      </c>
      <c r="D15" s="3">
        <v>6</v>
      </c>
      <c r="E15" s="1" t="s">
        <v>7</v>
      </c>
      <c r="F15" s="1" t="s">
        <v>21</v>
      </c>
      <c r="G15" s="1" t="s">
        <v>9</v>
      </c>
      <c r="H15" s="1" t="s">
        <v>15</v>
      </c>
    </row>
    <row r="16" spans="2:8" x14ac:dyDescent="0.35">
      <c r="B16" s="2">
        <v>40252</v>
      </c>
      <c r="C16" s="1">
        <v>204036</v>
      </c>
      <c r="D16" s="3">
        <v>7</v>
      </c>
      <c r="E16" s="1" t="s">
        <v>7</v>
      </c>
      <c r="F16" s="1" t="s">
        <v>21</v>
      </c>
      <c r="G16" s="1" t="s">
        <v>13</v>
      </c>
      <c r="H16" s="1" t="s">
        <v>14</v>
      </c>
    </row>
    <row r="17" spans="2:8" x14ac:dyDescent="0.35">
      <c r="B17" s="2">
        <v>38612</v>
      </c>
      <c r="C17" s="1">
        <v>248395</v>
      </c>
      <c r="D17" s="3">
        <v>8</v>
      </c>
      <c r="E17" s="1" t="s">
        <v>11</v>
      </c>
      <c r="F17" s="1" t="s">
        <v>22</v>
      </c>
      <c r="G17" s="1" t="s">
        <v>9</v>
      </c>
      <c r="H17" s="1" t="s">
        <v>10</v>
      </c>
    </row>
    <row r="18" spans="2:8" x14ac:dyDescent="0.35">
      <c r="B18" s="2">
        <v>39326</v>
      </c>
      <c r="C18" s="1">
        <v>91758</v>
      </c>
      <c r="D18" s="3">
        <v>8</v>
      </c>
      <c r="E18" s="1" t="s">
        <v>11</v>
      </c>
      <c r="F18" s="1" t="s">
        <v>16</v>
      </c>
      <c r="G18" s="1" t="s">
        <v>9</v>
      </c>
      <c r="H18" s="1" t="s">
        <v>14</v>
      </c>
    </row>
    <row r="19" spans="2:8" x14ac:dyDescent="0.35">
      <c r="B19" s="2">
        <v>38738</v>
      </c>
      <c r="C19" s="1">
        <v>19493</v>
      </c>
      <c r="D19" s="3">
        <v>9</v>
      </c>
      <c r="E19" s="1" t="s">
        <v>7</v>
      </c>
      <c r="F19" s="1" t="s">
        <v>22</v>
      </c>
      <c r="G19" s="1" t="s">
        <v>13</v>
      </c>
      <c r="H19" s="1" t="s">
        <v>15</v>
      </c>
    </row>
    <row r="20" spans="2:8" x14ac:dyDescent="0.35">
      <c r="B20" s="2">
        <v>38822</v>
      </c>
      <c r="C20" s="1">
        <v>480788</v>
      </c>
      <c r="D20" s="3">
        <v>10</v>
      </c>
      <c r="E20" s="1" t="s">
        <v>11</v>
      </c>
      <c r="F20" s="1" t="s">
        <v>20</v>
      </c>
      <c r="G20" s="1" t="s">
        <v>13</v>
      </c>
      <c r="H20" s="1" t="s">
        <v>10</v>
      </c>
    </row>
    <row r="21" spans="2:8" x14ac:dyDescent="0.35">
      <c r="B21" s="2">
        <v>38635</v>
      </c>
      <c r="C21" s="1">
        <v>21978</v>
      </c>
      <c r="D21" s="3">
        <v>10</v>
      </c>
      <c r="E21" s="1" t="s">
        <v>11</v>
      </c>
      <c r="F21" s="1" t="s">
        <v>12</v>
      </c>
      <c r="G21" s="1" t="s">
        <v>9</v>
      </c>
      <c r="H21" s="1" t="s">
        <v>15</v>
      </c>
    </row>
    <row r="22" spans="2:8" x14ac:dyDescent="0.35">
      <c r="B22" s="2">
        <v>39274</v>
      </c>
      <c r="C22" s="1">
        <v>444447</v>
      </c>
      <c r="D22" s="3">
        <v>10</v>
      </c>
      <c r="E22" s="1" t="s">
        <v>11</v>
      </c>
      <c r="F22" s="1" t="s">
        <v>18</v>
      </c>
      <c r="G22" s="1" t="s">
        <v>13</v>
      </c>
      <c r="H22" s="1" t="s">
        <v>15</v>
      </c>
    </row>
    <row r="23" spans="2:8" x14ac:dyDescent="0.35">
      <c r="B23" s="2">
        <v>39388</v>
      </c>
      <c r="C23" s="1">
        <v>17000</v>
      </c>
      <c r="D23" s="3">
        <v>11</v>
      </c>
      <c r="E23" s="1" t="s">
        <v>7</v>
      </c>
      <c r="F23" s="1" t="s">
        <v>12</v>
      </c>
      <c r="G23" s="1" t="s">
        <v>9</v>
      </c>
      <c r="H23" s="1" t="s">
        <v>10</v>
      </c>
    </row>
    <row r="24" spans="2:8" x14ac:dyDescent="0.35">
      <c r="B24" s="2">
        <v>39446</v>
      </c>
      <c r="C24" s="1">
        <v>10892</v>
      </c>
      <c r="D24" s="3">
        <v>12</v>
      </c>
      <c r="E24" s="1" t="s">
        <v>11</v>
      </c>
      <c r="F24" s="1" t="s">
        <v>8</v>
      </c>
      <c r="G24" s="1" t="s">
        <v>13</v>
      </c>
      <c r="H24" s="1" t="s">
        <v>10</v>
      </c>
    </row>
    <row r="25" spans="2:8" x14ac:dyDescent="0.35">
      <c r="B25" s="2">
        <v>38731</v>
      </c>
      <c r="C25" s="1">
        <v>23240</v>
      </c>
      <c r="D25" s="3">
        <v>12</v>
      </c>
      <c r="E25" s="1" t="s">
        <v>11</v>
      </c>
      <c r="F25" s="1" t="s">
        <v>22</v>
      </c>
      <c r="G25" s="1" t="s">
        <v>13</v>
      </c>
      <c r="H25" s="1" t="s">
        <v>14</v>
      </c>
    </row>
    <row r="26" spans="2:8" x14ac:dyDescent="0.35">
      <c r="B26" s="2">
        <v>39855</v>
      </c>
      <c r="C26" s="1">
        <v>18347</v>
      </c>
      <c r="D26" s="3">
        <v>13</v>
      </c>
      <c r="E26" s="1" t="s">
        <v>11</v>
      </c>
      <c r="F26" s="1" t="s">
        <v>21</v>
      </c>
      <c r="G26" s="1" t="s">
        <v>13</v>
      </c>
      <c r="H26" s="1" t="s">
        <v>14</v>
      </c>
    </row>
    <row r="27" spans="2:8" x14ac:dyDescent="0.35">
      <c r="B27" s="2">
        <v>39953</v>
      </c>
      <c r="C27" s="1">
        <v>402040</v>
      </c>
      <c r="D27" s="3">
        <v>13</v>
      </c>
      <c r="E27" s="1" t="s">
        <v>7</v>
      </c>
      <c r="F27" s="1" t="s">
        <v>8</v>
      </c>
      <c r="G27" s="1" t="s">
        <v>13</v>
      </c>
      <c r="H27" s="1" t="s">
        <v>10</v>
      </c>
    </row>
    <row r="28" spans="2:8" x14ac:dyDescent="0.35">
      <c r="B28" s="2">
        <v>38526</v>
      </c>
      <c r="C28" s="1">
        <v>13049</v>
      </c>
      <c r="D28" s="3">
        <v>13</v>
      </c>
      <c r="E28" s="1" t="s">
        <v>11</v>
      </c>
      <c r="F28" s="1" t="s">
        <v>16</v>
      </c>
      <c r="G28" s="1" t="s">
        <v>13</v>
      </c>
      <c r="H28" s="1" t="s">
        <v>10</v>
      </c>
    </row>
    <row r="29" spans="2:8" x14ac:dyDescent="0.35">
      <c r="B29" s="2">
        <v>39005</v>
      </c>
      <c r="C29" s="1">
        <v>21720</v>
      </c>
      <c r="D29" s="3">
        <v>14</v>
      </c>
      <c r="E29" s="1" t="s">
        <v>7</v>
      </c>
      <c r="F29" s="1" t="s">
        <v>17</v>
      </c>
      <c r="G29" s="1" t="s">
        <v>13</v>
      </c>
      <c r="H29" s="1" t="s">
        <v>10</v>
      </c>
    </row>
    <row r="30" spans="2:8" x14ac:dyDescent="0.35">
      <c r="B30" s="2">
        <v>40463</v>
      </c>
      <c r="C30" s="1">
        <v>207123</v>
      </c>
      <c r="D30" s="3">
        <v>14</v>
      </c>
      <c r="E30" s="1" t="s">
        <v>7</v>
      </c>
      <c r="F30" s="1" t="s">
        <v>21</v>
      </c>
      <c r="G30" s="1" t="s">
        <v>9</v>
      </c>
      <c r="H30" s="1" t="s">
        <v>15</v>
      </c>
    </row>
    <row r="31" spans="2:8" x14ac:dyDescent="0.35">
      <c r="B31" s="2">
        <v>39254</v>
      </c>
      <c r="C31" s="1">
        <v>24845</v>
      </c>
      <c r="D31" s="3">
        <v>14</v>
      </c>
      <c r="E31" s="1" t="s">
        <v>11</v>
      </c>
      <c r="F31" s="1" t="s">
        <v>20</v>
      </c>
      <c r="G31" s="1" t="s">
        <v>13</v>
      </c>
      <c r="H31" s="1" t="s">
        <v>14</v>
      </c>
    </row>
    <row r="32" spans="2:8" x14ac:dyDescent="0.35">
      <c r="B32" s="2">
        <v>38545</v>
      </c>
      <c r="C32" s="1">
        <v>20592</v>
      </c>
      <c r="D32" s="3">
        <v>15</v>
      </c>
      <c r="E32" s="1" t="s">
        <v>11</v>
      </c>
      <c r="F32" s="1" t="s">
        <v>17</v>
      </c>
      <c r="G32" s="1" t="s">
        <v>9</v>
      </c>
      <c r="H32" s="1" t="s">
        <v>10</v>
      </c>
    </row>
    <row r="33" spans="2:8" x14ac:dyDescent="0.35">
      <c r="B33" s="2">
        <v>39809</v>
      </c>
      <c r="C33" s="1">
        <v>26830</v>
      </c>
      <c r="D33" s="3">
        <v>16</v>
      </c>
      <c r="E33" s="1" t="s">
        <v>7</v>
      </c>
      <c r="F33" s="1" t="s">
        <v>18</v>
      </c>
      <c r="G33" s="1" t="s">
        <v>9</v>
      </c>
      <c r="H33" s="1" t="s">
        <v>10</v>
      </c>
    </row>
    <row r="34" spans="2:8" x14ac:dyDescent="0.35">
      <c r="B34" s="2">
        <v>39657</v>
      </c>
      <c r="C34" s="1">
        <v>465274</v>
      </c>
      <c r="D34" s="3">
        <v>16</v>
      </c>
      <c r="E34" s="1" t="s">
        <v>11</v>
      </c>
      <c r="F34" s="1" t="s">
        <v>22</v>
      </c>
      <c r="G34" s="1" t="s">
        <v>13</v>
      </c>
      <c r="H34" s="1" t="s">
        <v>15</v>
      </c>
    </row>
    <row r="35" spans="2:8" x14ac:dyDescent="0.35">
      <c r="B35" s="2">
        <v>38596</v>
      </c>
      <c r="C35" s="1">
        <v>25397</v>
      </c>
      <c r="D35" s="3">
        <v>18</v>
      </c>
      <c r="E35" s="1" t="s">
        <v>11</v>
      </c>
      <c r="F35" s="1" t="s">
        <v>8</v>
      </c>
      <c r="G35" s="1" t="s">
        <v>9</v>
      </c>
      <c r="H35" s="1" t="s">
        <v>10</v>
      </c>
    </row>
    <row r="36" spans="2:8" x14ac:dyDescent="0.35">
      <c r="B36" s="2">
        <v>40334</v>
      </c>
      <c r="C36" s="1">
        <v>34304</v>
      </c>
      <c r="D36" s="3">
        <v>18</v>
      </c>
      <c r="E36" s="1" t="s">
        <v>7</v>
      </c>
      <c r="F36" s="1" t="s">
        <v>16</v>
      </c>
      <c r="G36" s="1" t="s">
        <v>9</v>
      </c>
      <c r="H36" s="1" t="s">
        <v>15</v>
      </c>
    </row>
    <row r="37" spans="2:8" x14ac:dyDescent="0.35">
      <c r="B37" s="2">
        <v>39661</v>
      </c>
      <c r="C37" s="1">
        <v>16729</v>
      </c>
      <c r="D37" s="3">
        <v>18</v>
      </c>
      <c r="E37" s="1" t="s">
        <v>7</v>
      </c>
      <c r="F37" s="1" t="s">
        <v>20</v>
      </c>
      <c r="G37" s="1" t="s">
        <v>13</v>
      </c>
      <c r="H37" s="1" t="s">
        <v>10</v>
      </c>
    </row>
    <row r="38" spans="2:8" x14ac:dyDescent="0.35">
      <c r="B38" s="2">
        <v>40379</v>
      </c>
      <c r="C38" s="1">
        <v>122639</v>
      </c>
      <c r="D38" s="3">
        <v>19</v>
      </c>
      <c r="E38" s="1" t="s">
        <v>11</v>
      </c>
      <c r="F38" s="1" t="s">
        <v>18</v>
      </c>
      <c r="G38" s="1" t="s">
        <v>13</v>
      </c>
      <c r="H38" s="1" t="s">
        <v>10</v>
      </c>
    </row>
    <row r="39" spans="2:8" x14ac:dyDescent="0.35">
      <c r="B39" s="2">
        <v>38659</v>
      </c>
      <c r="C39" s="1">
        <v>19721</v>
      </c>
      <c r="D39" s="3">
        <v>19</v>
      </c>
      <c r="E39" s="1" t="s">
        <v>11</v>
      </c>
      <c r="F39" s="1" t="s">
        <v>17</v>
      </c>
      <c r="G39" s="1" t="s">
        <v>13</v>
      </c>
      <c r="H39" s="1" t="s">
        <v>10</v>
      </c>
    </row>
    <row r="40" spans="2:8" x14ac:dyDescent="0.35">
      <c r="B40" s="2">
        <v>39376</v>
      </c>
      <c r="C40" s="1">
        <v>20092</v>
      </c>
      <c r="D40" s="3">
        <v>20</v>
      </c>
      <c r="E40" s="1" t="s">
        <v>11</v>
      </c>
      <c r="F40" s="1" t="s">
        <v>19</v>
      </c>
      <c r="G40" s="1" t="s">
        <v>9</v>
      </c>
      <c r="H40" s="1" t="s">
        <v>10</v>
      </c>
    </row>
    <row r="41" spans="2:8" x14ac:dyDescent="0.35">
      <c r="B41" s="2">
        <v>38922</v>
      </c>
      <c r="C41" s="1">
        <v>199434</v>
      </c>
      <c r="D41" s="3">
        <v>21</v>
      </c>
      <c r="E41" s="1" t="s">
        <v>7</v>
      </c>
      <c r="F41" s="1" t="s">
        <v>18</v>
      </c>
      <c r="G41" s="1" t="s">
        <v>9</v>
      </c>
      <c r="H41" s="1" t="s">
        <v>10</v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D32"/>
  <sheetViews>
    <sheetView workbookViewId="0">
      <selection activeCell="A6" sqref="A6:D9"/>
    </sheetView>
  </sheetViews>
  <sheetFormatPr defaultRowHeight="14.5" x14ac:dyDescent="0.35"/>
  <cols>
    <col min="1" max="1" width="17.81640625" customWidth="1"/>
    <col min="2" max="2" width="16.26953125" customWidth="1"/>
    <col min="3" max="3" width="8" customWidth="1"/>
    <col min="4" max="5" width="11.26953125" customWidth="1"/>
    <col min="6" max="6" width="12.26953125" customWidth="1"/>
    <col min="7" max="7" width="10.54296875" customWidth="1"/>
    <col min="8" max="8" width="14.1796875" customWidth="1"/>
    <col min="9" max="9" width="8.54296875" customWidth="1"/>
    <col min="10" max="10" width="7.54296875" customWidth="1"/>
    <col min="11" max="11" width="11.26953125" customWidth="1"/>
    <col min="12" max="12" width="11.453125" customWidth="1"/>
    <col min="13" max="13" width="7" customWidth="1"/>
    <col min="14" max="14" width="7.54296875" customWidth="1"/>
    <col min="15" max="15" width="12.26953125" customWidth="1"/>
    <col min="16" max="16" width="10.54296875" customWidth="1"/>
    <col min="17" max="17" width="14.1796875" customWidth="1"/>
    <col min="18" max="18" width="8.54296875" customWidth="1"/>
    <col min="19" max="19" width="7.54296875" customWidth="1"/>
    <col min="20" max="20" width="14.54296875" customWidth="1"/>
    <col min="21" max="21" width="11.26953125" customWidth="1"/>
    <col min="22" max="22" width="12.26953125" bestFit="1" customWidth="1"/>
    <col min="23" max="23" width="10.54296875" bestFit="1" customWidth="1"/>
    <col min="24" max="24" width="14.1796875" bestFit="1" customWidth="1"/>
    <col min="25" max="25" width="8.54296875" customWidth="1"/>
    <col min="26" max="26" width="7.54296875" customWidth="1"/>
    <col min="27" max="27" width="19.1796875" bestFit="1" customWidth="1"/>
    <col min="28" max="28" width="11.453125" bestFit="1" customWidth="1"/>
    <col min="29" max="29" width="7.54296875" customWidth="1"/>
    <col min="30" max="30" width="12.26953125" bestFit="1" customWidth="1"/>
    <col min="31" max="31" width="10.54296875" bestFit="1" customWidth="1"/>
    <col min="32" max="32" width="8.54296875" customWidth="1"/>
    <col min="33" max="33" width="7.54296875" customWidth="1"/>
    <col min="34" max="34" width="14.54296875" bestFit="1" customWidth="1"/>
    <col min="35" max="35" width="9" customWidth="1"/>
    <col min="36" max="36" width="11.26953125" bestFit="1" customWidth="1"/>
  </cols>
  <sheetData>
    <row r="1" spans="1:4" x14ac:dyDescent="0.35">
      <c r="B1">
        <f>GETPIVOTDATA("Sum of Amount", $A$4, "Segment", "Airlines", "Listed", "No")</f>
        <v>188037</v>
      </c>
      <c r="C1">
        <f>GETPIVOTDATA("Amount",$A$4,"Segment","Airlines","Listed","No")</f>
        <v>188037</v>
      </c>
    </row>
    <row r="2" spans="1:4" x14ac:dyDescent="0.35">
      <c r="A2" s="4" t="s">
        <v>6</v>
      </c>
      <c r="B2" t="s">
        <v>27</v>
      </c>
    </row>
    <row r="4" spans="1:4" x14ac:dyDescent="0.35">
      <c r="A4" s="4" t="s">
        <v>26</v>
      </c>
      <c r="B4" s="4" t="s">
        <v>25</v>
      </c>
    </row>
    <row r="5" spans="1:4" x14ac:dyDescent="0.35">
      <c r="A5" s="4" t="s">
        <v>23</v>
      </c>
      <c r="B5" t="s">
        <v>9</v>
      </c>
      <c r="C5" t="s">
        <v>13</v>
      </c>
      <c r="D5" t="s">
        <v>24</v>
      </c>
    </row>
    <row r="6" spans="1:4" x14ac:dyDescent="0.35">
      <c r="A6" s="5" t="s">
        <v>8</v>
      </c>
      <c r="B6" s="6">
        <v>188037</v>
      </c>
      <c r="C6" s="6">
        <v>412932</v>
      </c>
      <c r="D6" s="6">
        <v>600969</v>
      </c>
    </row>
    <row r="7" spans="1:4" x14ac:dyDescent="0.35">
      <c r="A7" s="7" t="s">
        <v>11</v>
      </c>
      <c r="B7" s="6">
        <v>47540</v>
      </c>
      <c r="C7" s="6">
        <v>10892</v>
      </c>
      <c r="D7" s="6">
        <v>58432</v>
      </c>
    </row>
    <row r="8" spans="1:4" x14ac:dyDescent="0.35">
      <c r="A8" s="7" t="s">
        <v>7</v>
      </c>
      <c r="B8" s="6">
        <v>140497</v>
      </c>
      <c r="C8" s="6">
        <v>402040</v>
      </c>
      <c r="D8" s="6">
        <v>542537</v>
      </c>
    </row>
    <row r="9" spans="1:4" x14ac:dyDescent="0.35">
      <c r="A9" s="5" t="s">
        <v>18</v>
      </c>
      <c r="B9" s="6">
        <v>226264</v>
      </c>
      <c r="C9" s="6">
        <v>578350</v>
      </c>
      <c r="D9" s="6">
        <v>804614</v>
      </c>
    </row>
    <row r="10" spans="1:4" x14ac:dyDescent="0.35">
      <c r="A10" s="7" t="s">
        <v>11</v>
      </c>
      <c r="B10" s="6"/>
      <c r="C10" s="6">
        <v>578350</v>
      </c>
      <c r="D10" s="6">
        <v>578350</v>
      </c>
    </row>
    <row r="11" spans="1:4" x14ac:dyDescent="0.35">
      <c r="A11" s="7" t="s">
        <v>7</v>
      </c>
      <c r="B11" s="6">
        <v>226264</v>
      </c>
      <c r="C11" s="6"/>
      <c r="D11" s="6">
        <v>226264</v>
      </c>
    </row>
    <row r="12" spans="1:4" x14ac:dyDescent="0.35">
      <c r="A12" s="5" t="s">
        <v>19</v>
      </c>
      <c r="B12" s="6">
        <v>20092</v>
      </c>
      <c r="C12" s="6">
        <v>18362</v>
      </c>
      <c r="D12" s="6">
        <v>38454</v>
      </c>
    </row>
    <row r="13" spans="1:4" x14ac:dyDescent="0.35">
      <c r="A13" s="7" t="s">
        <v>11</v>
      </c>
      <c r="B13" s="6">
        <v>20092</v>
      </c>
      <c r="C13" s="6">
        <v>18362</v>
      </c>
      <c r="D13" s="6">
        <v>38454</v>
      </c>
    </row>
    <row r="14" spans="1:4" x14ac:dyDescent="0.35">
      <c r="A14" s="5" t="s">
        <v>16</v>
      </c>
      <c r="B14" s="6">
        <v>126062</v>
      </c>
      <c r="C14" s="6">
        <v>26791</v>
      </c>
      <c r="D14" s="6">
        <v>152853</v>
      </c>
    </row>
    <row r="15" spans="1:4" x14ac:dyDescent="0.35">
      <c r="A15" s="7" t="s">
        <v>11</v>
      </c>
      <c r="B15" s="6">
        <v>91758</v>
      </c>
      <c r="C15" s="6">
        <v>13049</v>
      </c>
      <c r="D15" s="6">
        <v>104807</v>
      </c>
    </row>
    <row r="16" spans="1:4" x14ac:dyDescent="0.35">
      <c r="A16" s="7" t="s">
        <v>7</v>
      </c>
      <c r="B16" s="6">
        <v>34304</v>
      </c>
      <c r="C16" s="6">
        <v>13742</v>
      </c>
      <c r="D16" s="6">
        <v>48046</v>
      </c>
    </row>
    <row r="17" spans="1:4" x14ac:dyDescent="0.35">
      <c r="A17" s="5" t="s">
        <v>17</v>
      </c>
      <c r="B17" s="6">
        <v>501983</v>
      </c>
      <c r="C17" s="6">
        <v>41441</v>
      </c>
      <c r="D17" s="6">
        <v>543424</v>
      </c>
    </row>
    <row r="18" spans="1:4" x14ac:dyDescent="0.35">
      <c r="A18" s="7" t="s">
        <v>11</v>
      </c>
      <c r="B18" s="6">
        <v>20592</v>
      </c>
      <c r="C18" s="6">
        <v>19721</v>
      </c>
      <c r="D18" s="6">
        <v>40313</v>
      </c>
    </row>
    <row r="19" spans="1:4" x14ac:dyDescent="0.35">
      <c r="A19" s="7" t="s">
        <v>7</v>
      </c>
      <c r="B19" s="6">
        <v>481391</v>
      </c>
      <c r="C19" s="6">
        <v>21720</v>
      </c>
      <c r="D19" s="6">
        <v>503111</v>
      </c>
    </row>
    <row r="20" spans="1:4" x14ac:dyDescent="0.35">
      <c r="A20" s="5" t="s">
        <v>22</v>
      </c>
      <c r="B20" s="6">
        <v>248395</v>
      </c>
      <c r="C20" s="6">
        <v>508007</v>
      </c>
      <c r="D20" s="6">
        <v>756402</v>
      </c>
    </row>
    <row r="21" spans="1:4" x14ac:dyDescent="0.35">
      <c r="A21" s="7" t="s">
        <v>11</v>
      </c>
      <c r="B21" s="6">
        <v>248395</v>
      </c>
      <c r="C21" s="6">
        <v>488514</v>
      </c>
      <c r="D21" s="6">
        <v>736909</v>
      </c>
    </row>
    <row r="22" spans="1:4" x14ac:dyDescent="0.35">
      <c r="A22" s="7" t="s">
        <v>7</v>
      </c>
      <c r="B22" s="6"/>
      <c r="C22" s="6">
        <v>19493</v>
      </c>
      <c r="D22" s="6">
        <v>19493</v>
      </c>
    </row>
    <row r="23" spans="1:4" x14ac:dyDescent="0.35">
      <c r="A23" s="5" t="s">
        <v>12</v>
      </c>
      <c r="B23" s="6">
        <v>54541</v>
      </c>
      <c r="C23" s="6">
        <v>19421</v>
      </c>
      <c r="D23" s="6">
        <v>73962</v>
      </c>
    </row>
    <row r="24" spans="1:4" x14ac:dyDescent="0.35">
      <c r="A24" s="7" t="s">
        <v>11</v>
      </c>
      <c r="B24" s="6">
        <v>37541</v>
      </c>
      <c r="C24" s="6">
        <v>19421</v>
      </c>
      <c r="D24" s="6">
        <v>56962</v>
      </c>
    </row>
    <row r="25" spans="1:4" x14ac:dyDescent="0.35">
      <c r="A25" s="7" t="s">
        <v>7</v>
      </c>
      <c r="B25" s="6">
        <v>17000</v>
      </c>
      <c r="C25" s="6"/>
      <c r="D25" s="6">
        <v>17000</v>
      </c>
    </row>
    <row r="26" spans="1:4" x14ac:dyDescent="0.35">
      <c r="A26" s="5" t="s">
        <v>21</v>
      </c>
      <c r="B26" s="6">
        <v>217698</v>
      </c>
      <c r="C26" s="6">
        <v>248460</v>
      </c>
      <c r="D26" s="6">
        <v>466158</v>
      </c>
    </row>
    <row r="27" spans="1:4" x14ac:dyDescent="0.35">
      <c r="A27" s="7" t="s">
        <v>11</v>
      </c>
      <c r="B27" s="6"/>
      <c r="C27" s="6">
        <v>44424</v>
      </c>
      <c r="D27" s="6">
        <v>44424</v>
      </c>
    </row>
    <row r="28" spans="1:4" x14ac:dyDescent="0.35">
      <c r="A28" s="7" t="s">
        <v>7</v>
      </c>
      <c r="B28" s="6">
        <v>217698</v>
      </c>
      <c r="C28" s="6">
        <v>204036</v>
      </c>
      <c r="D28" s="6">
        <v>421734</v>
      </c>
    </row>
    <row r="29" spans="1:4" x14ac:dyDescent="0.35">
      <c r="A29" s="5" t="s">
        <v>20</v>
      </c>
      <c r="B29" s="6">
        <v>10454</v>
      </c>
      <c r="C29" s="6">
        <v>522362</v>
      </c>
      <c r="D29" s="6">
        <v>532816</v>
      </c>
    </row>
    <row r="30" spans="1:4" x14ac:dyDescent="0.35">
      <c r="A30" s="7" t="s">
        <v>11</v>
      </c>
      <c r="B30" s="6">
        <v>10454</v>
      </c>
      <c r="C30" s="6">
        <v>505633</v>
      </c>
      <c r="D30" s="6">
        <v>516087</v>
      </c>
    </row>
    <row r="31" spans="1:4" x14ac:dyDescent="0.35">
      <c r="A31" s="7" t="s">
        <v>7</v>
      </c>
      <c r="B31" s="6"/>
      <c r="C31" s="6">
        <v>16729</v>
      </c>
      <c r="D31" s="6">
        <v>16729</v>
      </c>
    </row>
    <row r="32" spans="1:4" x14ac:dyDescent="0.35">
      <c r="A32" s="5" t="s">
        <v>24</v>
      </c>
      <c r="B32" s="6">
        <v>1593526</v>
      </c>
      <c r="C32" s="6">
        <v>2376126</v>
      </c>
      <c r="D32" s="6">
        <v>3969652</v>
      </c>
    </row>
  </sheetData>
  <dataValidations disablePrompts="1" count="3">
    <dataValidation allowBlank="1" showInputMessage="1" showErrorMessage="1" prompt="demo ()" sqref="G9" xr:uid="{00000000-0002-0000-0200-000000000000}"/>
    <dataValidation allowBlank="1" showInputMessage="1" showErrorMessage="1" prompt="fsdfasd" sqref="G15" xr:uid="{00000000-0002-0000-0200-000001000000}"/>
    <dataValidation allowBlank="1" showInputMessage="1" showErrorMessage="1" prompt="it works" sqref="G18" xr:uid="{00000000-0002-0000-0200-000002000000}"/>
  </dataValidations>
  <pageMargins left="0.7" right="0.7" top="0.75" bottom="0.75" header="0.3" footer="0.3"/>
  <pageSetup orientation="portrait" horizontalDpi="4294967293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4"/>
  <sheetViews>
    <sheetView workbookViewId="0">
      <selection activeCell="A5" sqref="A5"/>
    </sheetView>
  </sheetViews>
  <sheetFormatPr defaultRowHeight="14.5" x14ac:dyDescent="0.35"/>
  <sheetData>
    <row r="1" spans="2:4" x14ac:dyDescent="0.35">
      <c r="B1">
        <f>GETPIVOTDATA("Sum of Amount", 'Sample Pivot Table'!$A$4, "Segment", "Airlines", "Listed", "No")</f>
        <v>188037</v>
      </c>
      <c r="C1">
        <f>GETPIVOTDATA("Sum of Amount", 'Sample Pivot Table'!$A$4, "Segment", "Airlines", "Listed", "Yes")</f>
        <v>412932</v>
      </c>
      <c r="D1">
        <f>GETPIVOTDATA("Sum of Amount", 'Sample Pivot Table'!$A$4, "Segment", "Airlines")</f>
        <v>600969</v>
      </c>
    </row>
    <row r="2" spans="2:4" x14ac:dyDescent="0.35">
      <c r="B2">
        <f>GETPIVOTDATA("Sum of Amount", 'Sample Pivot Table'!$A$4, "Segment", "Airlines", "Customer Type", "Non-Preferred", "Listed", "No")</f>
        <v>47540</v>
      </c>
      <c r="C2">
        <f>GETPIVOTDATA("Sum of Amount", 'Sample Pivot Table'!$A$4, "Segment", "Airlines", "Customer Type", "Non-Preferred", "Listed", "Yes")</f>
        <v>10892</v>
      </c>
      <c r="D2">
        <f>GETPIVOTDATA("Sum of Amount", 'Sample Pivot Table'!$A$4, "Segment", "Airlines", "Customer Type", "Non-Preferred")</f>
        <v>58432</v>
      </c>
    </row>
    <row r="3" spans="2:4" x14ac:dyDescent="0.35">
      <c r="B3">
        <f>GETPIVOTDATA("Sum of Amount", 'Sample Pivot Table'!$A$4, "Segment", "Airlines", "Customer Type", "Preferred", "Listed", "No")</f>
        <v>140497</v>
      </c>
      <c r="C3">
        <f>GETPIVOTDATA("Sum of Amount", 'Sample Pivot Table'!$A$4, "Segment", "Airlines", "Customer Type", "Preferred", "Listed", "Yes")</f>
        <v>402040</v>
      </c>
      <c r="D3">
        <f>GETPIVOTDATA("Sum of Amount", 'Sample Pivot Table'!$A$4, "Segment", "Airlines", "Customer Type", "Preferred")</f>
        <v>542537</v>
      </c>
    </row>
    <row r="4" spans="2:4" x14ac:dyDescent="0.35">
      <c r="B4">
        <f>GETPIVOTDATA("Sum of Amount", 'Sample Pivot Table'!$A$4, "Segment", "BPO", "Listed", "No")</f>
        <v>226264</v>
      </c>
      <c r="C4">
        <f>GETPIVOTDATA("Sum of Amount", 'Sample Pivot Table'!$A$4, "Segment", "BPO", "Listed", "Yes")</f>
        <v>578350</v>
      </c>
      <c r="D4">
        <f>GETPIVOTDATA("Sum of Amount", 'Sample Pivot Table'!$A$4, "Segment", "BPO")</f>
        <v>804614</v>
      </c>
    </row>
  </sheetData>
  <dataValidations count="12">
    <dataValidation allowBlank="1" showInputMessage="1" showErrorMessage="1" prompt="Sum of Amount:_x000d__x000a_Segment = Airlines_x000d__x000a_Listed = No_x000d__x000a_" sqref="B1" xr:uid="{00000000-0002-0000-0300-000000000000}"/>
    <dataValidation allowBlank="1" showInputMessage="1" showErrorMessage="1" prompt="Sum of Amount:_x000d__x000a_Segment = Airlines_x000d__x000a_Listed = Yes_x000d__x000a_" sqref="C1" xr:uid="{00000000-0002-0000-0300-000001000000}"/>
    <dataValidation allowBlank="1" showInputMessage="1" showErrorMessage="1" prompt="Sum of Amount:_x000d__x000a_Segment = Airlines_x000d__x000a_" sqref="D1" xr:uid="{00000000-0002-0000-0300-000002000000}"/>
    <dataValidation allowBlank="1" showInputMessage="1" showErrorMessage="1" prompt="Sum of Amount:_x000d__x000a_Segment = Airlines_x000d__x000a_Customer Type = Non-Preferred_x000d__x000a_Listed = No_x000d__x000a_" sqref="B2" xr:uid="{00000000-0002-0000-0300-000003000000}"/>
    <dataValidation allowBlank="1" showInputMessage="1" showErrorMessage="1" prompt="Sum of Amount:_x000d__x000a_Segment = Airlines_x000d__x000a_Customer Type = Non-Preferred_x000d__x000a_Listed = Yes_x000d__x000a_" sqref="C2" xr:uid="{00000000-0002-0000-0300-000004000000}"/>
    <dataValidation allowBlank="1" showInputMessage="1" showErrorMessage="1" prompt="Sum of Amount:_x000d__x000a_Segment = Airlines_x000d__x000a_Customer Type = Non-Preferred_x000d__x000a_" sqref="D2" xr:uid="{00000000-0002-0000-0300-000005000000}"/>
    <dataValidation allowBlank="1" showInputMessage="1" showErrorMessage="1" prompt="Sum of Amount:_x000d__x000a_Segment = Airlines_x000d__x000a_Customer Type = Preferred_x000d__x000a_Listed = No_x000d__x000a_" sqref="B3" xr:uid="{00000000-0002-0000-0300-000006000000}"/>
    <dataValidation allowBlank="1" showInputMessage="1" showErrorMessage="1" prompt="Sum of Amount:_x000d__x000a_Segment = Airlines_x000d__x000a_Customer Type = Preferred_x000d__x000a_Listed = Yes_x000d__x000a_" sqref="C3" xr:uid="{00000000-0002-0000-0300-000007000000}"/>
    <dataValidation allowBlank="1" showInputMessage="1" showErrorMessage="1" prompt="Sum of Amount:_x000d__x000a_Segment = Airlines_x000d__x000a_Customer Type = Preferred_x000d__x000a_" sqref="D3" xr:uid="{00000000-0002-0000-0300-000008000000}"/>
    <dataValidation allowBlank="1" showInputMessage="1" showErrorMessage="1" prompt="Sum of Amount:_x000d__x000a_Segment = BPO_x000d__x000a_Listed = No_x000d__x000a_" sqref="B4" xr:uid="{00000000-0002-0000-0300-000009000000}"/>
    <dataValidation allowBlank="1" showInputMessage="1" showErrorMessage="1" prompt="Sum of Amount:_x000d__x000a_Segment = BPO_x000d__x000a_Listed = Yes_x000d__x000a_" sqref="C4" xr:uid="{00000000-0002-0000-0300-00000A000000}"/>
    <dataValidation allowBlank="1" showInputMessage="1" showErrorMessage="1" prompt="Sum of Amount:_x000d__x000a_Segment = BPO_x000d__x000a_" sqref="D4" xr:uid="{00000000-0002-0000-0300-00000B000000}"/>
  </dataValidations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F79869-424A-4B32-A8F3-B751141E45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Raw data</vt:lpstr>
      <vt:lpstr>Sample Pivot Table</vt:lpstr>
      <vt:lpstr>Sample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2014-10-07T16:59:50Z</dcterms:created>
  <dcterms:modified xsi:type="dcterms:W3CDTF">2022-02-03T03:37:06Z</dcterms:modified>
</cp:coreProperties>
</file>